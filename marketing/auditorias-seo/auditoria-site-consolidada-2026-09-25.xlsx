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c\AppData\Local\Temp\claude\c--Users-franc-solveplan-com-Roberto-Molina---Marketing-1--MKT-Estrategy-3--Agentes-de-IA-ccos-ratos\3fe7c38d-8aa5-4234-b9e2-eb8021efc363\scratchpad\"/>
    </mc:Choice>
  </mc:AlternateContent>
  <xr:revisionPtr revIDLastSave="0" documentId="8_{5525B410-07F9-440B-A988-FFAC0A6AD8DE}" xr6:coauthVersionLast="47" xr6:coauthVersionMax="47" xr10:uidLastSave="{00000000-0000-0000-0000-000000000000}"/>
  <bookViews>
    <workbookView xWindow="-108" yWindow="-108" windowWidth="23256" windowHeight="12456" xr2:uid="{CDF2F262-10F8-4AC9-A901-987D36AEC4B6}"/>
  </bookViews>
  <sheets>
    <sheet name="Painel" sheetId="1" r:id="rId1"/>
    <sheet name="Plano de ação" sheetId="2" r:id="rId2"/>
    <sheet name="Scorecards" sheetId="3" r:id="rId3"/>
    <sheet name="Varredura 91 URLs" sheetId="4" r:id="rId4"/>
  </sheets>
  <definedNames>
    <definedName name="_xlnm._FilterDatabase" localSheetId="1" hidden="1">'Plano de ação'!$A$1:$J$49</definedName>
    <definedName name="_xlnm._FilterDatabase" localSheetId="3" hidden="1">'Varredura 91 URLs'!$A$1:$K$92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6" i="3" l="1"/>
  <c r="D16" i="3"/>
  <c r="E16" i="3"/>
  <c r="F16" i="3"/>
</calcChain>
</file>

<file path=xl/sharedStrings.xml><?xml version="1.0" encoding="utf-8"?>
<sst xmlns="http://schemas.openxmlformats.org/spreadsheetml/2006/main" count="1061" uniqueCount="573">
  <si>
    <t>Prioridade</t>
  </si>
  <si>
    <t>Frente</t>
  </si>
  <si>
    <t>Escopo / página</t>
  </si>
  <si>
    <t>Item</t>
  </si>
  <si>
    <t>O que fazer</t>
  </si>
  <si>
    <t>Onde mudar no WordPress</t>
  </si>
  <si>
    <t>Impacto</t>
  </si>
  <si>
    <t>Dificuldade</t>
  </si>
  <si>
    <t>Status</t>
  </si>
  <si>
    <t>Origem</t>
  </si>
  <si>
    <t>1-Urgente</t>
  </si>
  <si>
    <t>Segurança</t>
  </si>
  <si>
    <t>Site todo</t>
  </si>
  <si>
    <t>Backup</t>
  </si>
  <si>
    <t>Hostinger faz backup automático diário; backup manual criado em 25/09 antes das mudanças</t>
  </si>
  <si>
    <t>hPanel &gt; Sites &gt; solveplan.com &gt; Arquivos &gt; Backups</t>
  </si>
  <si>
    <t>Risco</t>
  </si>
  <si>
    <t>Fácil</t>
  </si>
  <si>
    <t>Feito</t>
  </si>
  <si>
    <t>Análise site 25/09</t>
  </si>
  <si>
    <t>Instalar Wordfence</t>
  </si>
  <si>
    <t>Instalado e ativado (9.0.1) em 25/09 com licença gratuita; firewall em modo básico. Não otimizar firewall por enquanto (mexe em .htaccess)</t>
  </si>
  <si>
    <t>Plugins</t>
  </si>
  <si>
    <t>Desativar xmlrpc.php</t>
  </si>
  <si>
    <t>Endpoint aberto (responde 200), vetor de força bruta</t>
  </si>
  <si>
    <t>Feito 25/09: Wordfence &gt; Segurança de acesso &gt; Configurações &gt; Desativar a autenticação XML-RPC</t>
  </si>
  <si>
    <t>Revogar Application Password</t>
  </si>
  <si>
    <t>A senha do usuário administrador foi compartilhada no chat. Revogar e criar outra só quando precisar</t>
  </si>
  <si>
    <t>Usuários &gt; administrador &gt; Senhas de aplicativo &gt; Revogar</t>
  </si>
  <si>
    <t>Bloquear listagem pública de usuários</t>
  </si>
  <si>
    <t>/wp-json/wp/v2/users expõe os logins administrador, felippeemanoel e solveplan</t>
  </si>
  <si>
    <t>Feito 25/09: Wordfence &gt; Todas as opções &gt; Brute Force &gt; Prevent discovery of usernames (testado: /users = 401, ?author = 404)</t>
  </si>
  <si>
    <t>2-Alta</t>
  </si>
  <si>
    <t>SEO técnico</t>
  </si>
  <si>
    <t>28 páginas institucionais</t>
  </si>
  <si>
    <t>Adicionar H1</t>
  </si>
  <si>
    <t>Textos aprovados na revisão de 25/09 (revisao-titles-descriptions-h1). Aplicar na volta da Fran, conferindo o visual</t>
  </si>
  <si>
    <t>Elementor &gt; widget Título principal &gt; Tag HTML: H1</t>
  </si>
  <si>
    <t>SEO +7/pág</t>
  </si>
  <si>
    <t>Pendente</t>
  </si>
  <si>
    <t>Auditoria 28/07 + 25/09</t>
  </si>
  <si>
    <t>Conversão</t>
  </si>
  <si>
    <t>Nova página</t>
  </si>
  <si>
    <t>Landing page BDC para ads</t>
  </si>
  <si>
    <t>LP dedicada para LinkedIn e Google Ads (prioridade H2 2026)</t>
  </si>
  <si>
    <t>Elementor &gt; nova página (noindex se for só para mídia)</t>
  </si>
  <si>
    <t>Pipeline</t>
  </si>
  <si>
    <t>Médio</t>
  </si>
  <si>
    <t>Análise site 25/09 / estratégia H2</t>
  </si>
  <si>
    <t>Home</t>
  </si>
  <si>
    <t>CTA quebrado</t>
  </si>
  <si>
    <t>"Fale com nossos especialistas" leva para /aceleradores/. Apontar para /contato/ ou para a LP BDC</t>
  </si>
  <si>
    <t>Elementor &gt; botão &gt; Link</t>
  </si>
  <si>
    <t>/contato/</t>
  </si>
  <si>
    <t>Melhorar página de contato</t>
  </si>
  <si>
    <t>Corrigir o horário ("8h-18h e 13h-18h30"), dizer o próximo passo depois do envio, incluir agendamento HubSpot Meetings e H1</t>
  </si>
  <si>
    <t>Elementor &gt; Contato</t>
  </si>
  <si>
    <t>AEO</t>
  </si>
  <si>
    <t>Bloco de snippet</t>
  </si>
  <si>
    <t>H2 "O que a Solveplan faz?" + parágrafo de 54 palavras (texto no relatório site-2026-09-25-analise.md; trocar 390 por 300 projetos)</t>
  </si>
  <si>
    <t>Elementor &gt; Título H2 + Editor de texto</t>
  </si>
  <si>
    <t>Auditoria home 25/09</t>
  </si>
  <si>
    <t>FAQ + FAQPage schema</t>
  </si>
  <si>
    <t>4 perguntas (BDC, Datasphere x BDC, prazo SAC, sair das planilhas) + JSON-LD (código no relatório)</t>
  </si>
  <si>
    <t>Elementor &gt; Acordeão + widget HTML</t>
  </si>
  <si>
    <t>+10 (+7 perguntas nos headings)</t>
  </si>
  <si>
    <t>Todas as páginas</t>
  </si>
  <si>
    <t>Schema errado (BlogPosting + Person)</t>
  </si>
  <si>
    <t>Páginas saem como artigo, com o usuário felippeemanoel como autor</t>
  </si>
  <si>
    <t>Rank Math &gt; Títulos e Meta &gt; Páginas &gt; Tipo de Schema: Nenhum/WebPage</t>
  </si>
  <si>
    <t>GEO +1-2/pág</t>
  </si>
  <si>
    <t>Auditoria 28/07 + 30/07 + 25/09</t>
  </si>
  <si>
    <t>SEO página</t>
  </si>
  <si>
    <t>H1 com keyword</t>
  </si>
  <si>
    <t>"Consultoria SAP em dados, analytics, planejamento e consolidação"</t>
  </si>
  <si>
    <t>Elementor &gt; título do hero &gt; Tag H1</t>
  </si>
  <si>
    <t>Faixa de prova social</t>
  </si>
  <si>
    <t>Prêmio 2026, prêmio 2025, SAP Gold e logos de clientes logo abaixo do hero</t>
  </si>
  <si>
    <t>Elementor &gt; Home</t>
  </si>
  <si>
    <t>/sap-business-data-cloud/</t>
  </si>
  <si>
    <t>Reescrever página BDC</t>
  </si>
  <si>
    <t>65% do tráfego, 302 palavras genéricas, sem case, sem FAQ, 1 CTA. Estrutura: dor &gt; abordagem Solveplan &gt; case &gt; FAQ &gt; CTA (usar /pagina-solucao)</t>
  </si>
  <si>
    <t>Elementor &gt; página BDC</t>
  </si>
  <si>
    <t>Difícil</t>
  </si>
  <si>
    <t>Contadores legíveis por robôs</t>
  </si>
  <si>
    <t>O HTML entrega "0+" (a animação só roda com JavaScript). Pôr o número real como texto</t>
  </si>
  <si>
    <t>Elementor &gt; widget Contador &gt; valor inicial = valor final, ou widget Título</t>
  </si>
  <si>
    <t>GEO</t>
  </si>
  <si>
    <t>Hero focado em BDC</t>
  </si>
  <si>
    <t>Hero com SAP BDC + selo Melhor Parceiro SAP BDC 2026 LATAM + CTA "Agende um diagnóstico BDC"</t>
  </si>
  <si>
    <t>Elementor &gt; Home &gt; seção hero</t>
  </si>
  <si>
    <t>/sap-datasphere/</t>
  </si>
  <si>
    <t>FAQ com schema</t>
  </si>
  <si>
    <t>A seção "Perguntas frequentes" existe, mas falta o schema FAQPage</t>
  </si>
  <si>
    <t>Widget HTML com JSON-LD FAQPage</t>
  </si>
  <si>
    <t>Parcial</t>
  </si>
  <si>
    <t>Auditoria Datasphere 30/07</t>
  </si>
  <si>
    <t>Post BW/4HANA</t>
  </si>
  <si>
    <t>A seção FAQ existe, mas falta o schema FAQPage</t>
  </si>
  <si>
    <t>Rank Math Schema Generator ou widget HTML</t>
  </si>
  <si>
    <t>Auditoria BW/4HANA 17/09</t>
  </si>
  <si>
    <t>Headings em pergunta + snippet</t>
  </si>
  <si>
    <t>"Por que o SAP BW não é mais suficiente?", "O que o SAP Datasphere resolve...?"</t>
  </si>
  <si>
    <t>Elementor</t>
  </si>
  <si>
    <t>Title e description</t>
  </si>
  <si>
    <t>Title de 60 caracteres e description de 157 aplicados</t>
  </si>
  <si>
    <t>Rank Math</t>
  </si>
  <si>
    <t>Meta description</t>
  </si>
  <si>
    <t>"Parceira SAP Gold e Melhor Parceiro SAP Business Data Cloud 2026 na América Latina. Analytics, planejamento e consolidação com dados confiáveis." (144)</t>
  </si>
  <si>
    <t>Rank Math &gt; Editar snippet &gt; Descrição</t>
  </si>
  <si>
    <t>Title</t>
  </si>
  <si>
    <t>"Consultoria SAP BDC, Analytics e Planejamento | Solveplan" (57 caracteres)</t>
  </si>
  <si>
    <t>Rank Math &gt; Editar snippet &gt; Título</t>
  </si>
  <si>
    <t>H1</t>
  </si>
  <si>
    <t>Virou "O que é o SAP Datasphere?"</t>
  </si>
  <si>
    <t>/sap-profitability-and-performance-management/</t>
  </si>
  <si>
    <t>PaPM fora do ar</t>
  </si>
  <si>
    <t>Página em rascunho + redirecionamento 301 para /contato/ (Rank Math &gt; Redirecionamentos). Tirar o card de /servicos/ no rascunho dessa página</t>
  </si>
  <si>
    <t>Rank Math / Páginas</t>
  </si>
  <si>
    <t>Site</t>
  </si>
  <si>
    <t>Revisão 25/09</t>
  </si>
  <si>
    <t>Meta description, title e slug</t>
  </si>
  <si>
    <t>Publicado com title de 57 caracteres, description e slug /blog/sap-datasphere-x-sap-bw4hana/</t>
  </si>
  <si>
    <t>Rank Math / permalink</t>
  </si>
  <si>
    <t>Confirmar números oficiais</t>
  </si>
  <si>
    <t>Site: 150+ empresas / 300+ projetos / 68+ especialistas. Contexto interno: 150+ / 390+ / 60+. Definir o oficial e atualizar</t>
  </si>
  <si>
    <t>Definido em 25/09: oficiais são os do site (150+ / 300+ / 68+ / 13+). Manter contadores</t>
  </si>
  <si>
    <t>Credibilidade</t>
  </si>
  <si>
    <t>Title e description da BDC</t>
  </si>
  <si>
    <t>Title: "Consultoria SAP Business Data Cloud (BDC) | Solveplan". Description: "Implemente SAP Business Data Cloud com o Melhor Parceiro SAP BDC 2026 da América Latina. Unifique dados SAP e não-SAP para analytics e IA."</t>
  </si>
  <si>
    <t>Rank Math &gt; Editar snippet</t>
  </si>
  <si>
    <t>SEO</t>
  </si>
  <si>
    <t>3-Média</t>
  </si>
  <si>
    <t>Atualizar WordPress 6.8.9 &gt; 7.1.2</t>
  </si>
  <si>
    <t>Salto grande de versão: fazer com backup e testar Elementor antes (idealmente em staging da Hostinger)</t>
  </si>
  <si>
    <t>Painel &gt; Atualizações</t>
  </si>
  <si>
    <t>Sessão 25/09</t>
  </si>
  <si>
    <t>Mercado e fonte externa</t>
  </si>
  <si>
    <t>Citar "América Latina" e linkar a notícia do SAP Partner Awards 2026</t>
  </si>
  <si>
    <t>Elementor &gt; seção Sobre</t>
  </si>
  <si>
    <t>País no schema Organization</t>
  </si>
  <si>
    <t>addressCountry "55" deve ser "BR"</t>
  </si>
  <si>
    <t>Rank Math &gt; Títulos e Meta &gt; Local SEO &gt; País</t>
  </si>
  <si>
    <t>Blog</t>
  </si>
  <si>
    <t>Canibalização e duplicados</t>
  </si>
  <si>
    <t>governanca-dados-financeiros-sap-bdc x sap-business-data-cloud-governanca-financeira; slugs com "-2". Fundir ou diferenciar + 301</t>
  </si>
  <si>
    <t>Posts + Rank Math &gt; Redirecionamentos</t>
  </si>
  <si>
    <t>Alts de imagens</t>
  </si>
  <si>
    <t>BDC 8/8 sem alt; home 10/31; Datasphere 8/16; BW/4HANA 7/9</t>
  </si>
  <si>
    <t>Mídia &gt; Biblioteca &gt; Texto alternativo</t>
  </si>
  <si>
    <t>SEO +3/pág</t>
  </si>
  <si>
    <t>Auditorias 28/07, 30/07, 17/09, 25/09</t>
  </si>
  <si>
    <t>Performance</t>
  </si>
  <si>
    <t>Home, BDC, Datasphere, BW/4HANA</t>
  </si>
  <si>
    <t>Medir PageSpeed</t>
  </si>
  <si>
    <t>A cota da API estava esgotada em todas as auditorias. Rodar mobile e desktop e registrar LCP/CLS</t>
  </si>
  <si>
    <t>pagespeed.web.dev</t>
  </si>
  <si>
    <t>até +20/pág</t>
  </si>
  <si>
    <t>Todas as auditorias</t>
  </si>
  <si>
    <t>Fonte externa (Gartner/IDC)</t>
  </si>
  <si>
    <t>Não confirmado na página atual</t>
  </si>
  <si>
    <t>Elementor &gt; texto de contexto</t>
  </si>
  <si>
    <t>A verificar</t>
  </si>
  <si>
    <t>Prova social e América Latina</t>
  </si>
  <si>
    <t>Gold, prêmio e América Latina já aparecem na página</t>
  </si>
  <si>
    <t>E-E-A-T, América Latina, typos</t>
  </si>
  <si>
    <t>Parágrafo de autoridade, América Latina e correção de "SAP BW/HANA"/"DAP BW" aplicados</t>
  </si>
  <si>
    <t>Corpo do post</t>
  </si>
  <si>
    <t>Páginas de solução</t>
  </si>
  <si>
    <t>Titles em CAIXA ALTA</t>
  </si>
  <si>
    <t>SAP BUSINESS DATA CLOUD, FÁBRICA DE BI, CONSOLIDAÇÃO CONTÁBIL etc. Usar caixa normal + keyword</t>
  </si>
  <si>
    <t>Sitemap</t>
  </si>
  <si>
    <t>Tirar lixo do índice</t>
  </si>
  <si>
    <t>/banner/banner-2, /banner/banner-3, /video-aceleradores/video-teste/, /midia-em-acelerador/analytics/, /cases-abertos/</t>
  </si>
  <si>
    <t>Feito 25/09: noindex por página + nos tipos Banners, Mídias e Vídeos Aceleradores (Rank Math &gt; Títulos e Meta). Saíram do sitemap</t>
  </si>
  <si>
    <t>Contato, Sobre, Analytics, Blog, Serviços</t>
  </si>
  <si>
    <t>Descriptions fracas ou duplicadas</t>
  </si>
  <si>
    <t>"CONTATO", "Sobre Nós", "Analytics", Blog vazia; /servicos/ copia a description da BDC. Reescrever com 120-155 caracteres</t>
  </si>
  <si>
    <t>Blog (41 URLs)</t>
  </si>
  <si>
    <t>Titles acima de 65 caracteres</t>
  </si>
  <si>
    <t>O sufixo " - Solveplan" estoura o limite. Aplicado 25/09 em 39 URLs (2 mantidos por decisão)</t>
  </si>
  <si>
    <t>Post Clean Core</t>
  </si>
  <si>
    <t>Description copiada errada</t>
  </si>
  <si>
    <t>Usa a description do post de agronegócio</t>
  </si>
  <si>
    <t>4-Baixa</t>
  </si>
  <si>
    <t>Ativar 2FA para administradores</t>
  </si>
  <si>
    <t>Opcional; muda a forma de login no painel</t>
  </si>
  <si>
    <t>Wordfence &gt; Segurança de acesso &gt; Configurações &gt; 2FA</t>
  </si>
  <si>
    <t>Headings H5 para H2</t>
  </si>
  <si>
    <t>As seções usam H5. Trocar para H2/H3</t>
  </si>
  <si>
    <t>Editor do post</t>
  </si>
  <si>
    <t>Imagens em WebP</t>
  </si>
  <si>
    <t>75 imagens da home em JPG/PNG, mesmo com o plugin Image Optimization ativo</t>
  </si>
  <si>
    <t>Image Optimization &gt; Configurações &gt; WebP</t>
  </si>
  <si>
    <t>og:image</t>
  </si>
  <si>
    <t>561x374 e alt "Home". Trocar por 1200x630 com marca + selo do prêmio</t>
  </si>
  <si>
    <t>Rank Math &gt; Títulos e Meta &gt; Global &gt; OpenGraph</t>
  </si>
  <si>
    <t>Social</t>
  </si>
  <si>
    <t>Conteúdo</t>
  </si>
  <si>
    <t>Erros de digitação</t>
  </si>
  <si>
    <t>Menu "Analitycs", rodapé "SAP DataSphere", "SolvePlan" x "Solveplan" nas notícias</t>
  </si>
  <si>
    <t>Aparência &gt; Menus / Elementor rodapé / notícias</t>
  </si>
  <si>
    <t>Links internos no corpo</t>
  </si>
  <si>
    <t>Linkar SAC e consolidação no texto</t>
  </si>
  <si>
    <t>Categoria</t>
  </si>
  <si>
    <t>Máximo</t>
  </si>
  <si>
    <t>/sap-datasphere/ (30/07)</t>
  </si>
  <si>
    <t>Post BW/4HANA (17/09)</t>
  </si>
  <si>
    <t>Home (25/09)</t>
  </si>
  <si>
    <t>SEO On-Page</t>
  </si>
  <si>
    <t>Title Tag</t>
  </si>
  <si>
    <t>Meta Description</t>
  </si>
  <si>
    <t>Estrutura de Headings</t>
  </si>
  <si>
    <t>URL + Imagens + Links</t>
  </si>
  <si>
    <t>PageSpeed Mobile</t>
  </si>
  <si>
    <t>PageSpeed Desktop</t>
  </si>
  <si>
    <t>LCP</t>
  </si>
  <si>
    <t>CLS</t>
  </si>
  <si>
    <t>Bloco Featured Snippet</t>
  </si>
  <si>
    <t>FAQ</t>
  </si>
  <si>
    <t>Perguntas nos Headings</t>
  </si>
  <si>
    <t>Schema Markup</t>
  </si>
  <si>
    <t>E-E-A-T</t>
  </si>
  <si>
    <t>Entidades e Citações</t>
  </si>
  <si>
    <t>TOTAL</t>
  </si>
  <si>
    <t>Notas: as notas são do dia de cada auditoria. A Datasphere e o post BW/4HANA já receberam correções depois (ver aba Plano de ação, Status = Feito); reauditar para atualizar a nota. Performance não foi verificada em nenhuma auditoria (cota da API PageSpeed esgotada).</t>
  </si>
  <si>
    <t>Tipo</t>
  </si>
  <si>
    <t>URL</t>
  </si>
  <si>
    <t>H1 hoje</t>
  </si>
  <si>
    <t>H1 em 28/07</t>
  </si>
  <si>
    <t>Title (chars)</t>
  </si>
  <si>
    <t>Description (chars)</t>
  </si>
  <si>
    <t>Description em 28/07 (chars)</t>
  </si>
  <si>
    <t>Problemas hoje</t>
  </si>
  <si>
    <t>Evolução</t>
  </si>
  <si>
    <t>page</t>
  </si>
  <si>
    <t>https://solveplan.com/</t>
  </si>
  <si>
    <t>Home - Solveplan</t>
  </si>
  <si>
    <t>Soluções SAP para decisões mais inteligentes</t>
  </si>
  <si>
    <t>sem H1; description fora de 120-160; title curto</t>
  </si>
  <si>
    <t>H1 ainda faltando</t>
  </si>
  <si>
    <t>https://solveplan.com/sap-datasphere/</t>
  </si>
  <si>
    <t>SAP Datasphere: o que é e como funciona em 2026 | Solveplan</t>
  </si>
  <si>
    <t>Entenda o que é o SAP Datasphere e como ele unifica dados fragmentados. A Solveplan, parceira SAP Gold, implementa e customiza a solução para sua empresa.</t>
  </si>
  <si>
    <t>H1 corrigido</t>
  </si>
  <si>
    <t>https://solveplan.com/solve-watch-gestao-sap-datasphere/</t>
  </si>
  <si>
    <t>Solve Watch: Gestao Inteligente para SAP Datasphere em 30 Dias | Solveplan</t>
  </si>
  <si>
    <t>Solve Watch é a plataforma da Solveplan que usa IA para diagnosticar seu ambiente SAP Datasphere, priorizar riscos e entregar recomendacoes validadas por arquitetos. Resultados em 30 dias.</t>
  </si>
  <si>
    <t>sem H1; description fora de 120-160; title longo</t>
  </si>
  <si>
    <t>https://solveplan.com/servicos/</t>
  </si>
  <si>
    <t>Serviços - Solveplan</t>
  </si>
  <si>
    <t>Unifique e governe todos os seus dados críticos com a solução SaaS que conecta dados SAP e de terceiros para impulsionar a inovação e a eficiência operacional</t>
  </si>
  <si>
    <t>https://solveplan.com/sap-profitability-and-performance-management/</t>
  </si>
  <si>
    <t>SAP PROFITABILITY AND PERFORMANCE MANAGEMENT - Solveplan</t>
  </si>
  <si>
    <t>O SAP Profitability and Performance Management permite às empresas analisarem rentabilidade com profundidade, agilidade e precisão. Com tecnologia de ponta,</t>
  </si>
  <si>
    <t>sem H1</t>
  </si>
  <si>
    <t>https://solveplan.com/planejamento-de-rh/</t>
  </si>
  <si>
    <t>Planejamento de RH - Solveplan</t>
  </si>
  <si>
    <t>Com a Solveplan, o RH atua com mais estratégia, menos esforço manual e total controle dos números.</t>
  </si>
  <si>
    <t>sem H1; description fora de 120-160</t>
  </si>
  <si>
    <t>https://solveplan.com/contato/</t>
  </si>
  <si>
    <t>Contato - Solveplan</t>
  </si>
  <si>
    <t>CONTATO</t>
  </si>
  <si>
    <t>https://solveplan.com/fabrica-de-bi/</t>
  </si>
  <si>
    <t>FÁBRICA DE BI - Solveplan</t>
  </si>
  <si>
    <t>A Solveplan oferece soluções de Business Intelligence adaptadas à realidade de cada empresa. Unimos tecnologias como SAP Analytics Cloud e DataSphere a uma</t>
  </si>
  <si>
    <t>sem H1; title curto</t>
  </si>
  <si>
    <t>https://solveplan.com/planejamento-e-simulacao/</t>
  </si>
  <si>
    <t>PLANEJAMENTO E SIMULAÇÃO - Solveplan</t>
  </si>
  <si>
    <t>A solução de planejamento da Solveplan com SAP Analytics Cloud transforma dados em previsões estratégicas. Com análise preditiva, BI e planejamento</t>
  </si>
  <si>
    <t>https://solveplan.com/consolidacao-contabil/</t>
  </si>
  <si>
    <t>CONSOLIDAÇÃO CONTÁBIL - Solveplan</t>
  </si>
  <si>
    <t>A solução de consolidação da Solveplan reúne automação, flexibilidade e inteligência em um só ambiente. Com ela, é possível agilizar o fechamento contábil,</t>
  </si>
  <si>
    <t>https://solveplan.com/sap-business-data-cloud/</t>
  </si>
  <si>
    <t>SAP BUSINESS DATA CLOUD - Solveplan</t>
  </si>
  <si>
    <t>https://solveplan.com/sobre-nos/</t>
  </si>
  <si>
    <t>Sobre Nós - Solveplan</t>
  </si>
  <si>
    <t>Sobre Nós</t>
  </si>
  <si>
    <t>https://solveplan.com/people-analytics/</t>
  </si>
  <si>
    <t>PEOPLE ANALYTICS - Solveplan</t>
  </si>
  <si>
    <t>Uma gestão de pessoas baseada em dados permite decisões mais estratégicas e direcionadas. Com indicadores confiáveis e relatórios visuais, o RH evolui com</t>
  </si>
  <si>
    <t>https://solveplan.com/consolidacao/</t>
  </si>
  <si>
    <t>Consolidação - Solveplan</t>
  </si>
  <si>
    <t>Com o SAP Group Reporting e SAP Analytics Cloud conjugados com a expertise da Solveplan, a consolidação financeira ganha agilidade, precisão e governança.</t>
  </si>
  <si>
    <t>https://solveplan.com/analytics/</t>
  </si>
  <si>
    <t>Analytics - Solveplan</t>
  </si>
  <si>
    <t>Analytics</t>
  </si>
  <si>
    <t>https://solveplan.com/acompanhamento-de-despesas/</t>
  </si>
  <si>
    <t>Acompanhamento de Despesas - Solveplan</t>
  </si>
  <si>
    <t>Mantenha o orçamento sob controle com inteligência, precisão e tecnologia de ponta. Com as soluções da Solveplan, você acompanha em tempo real o comparativo</t>
  </si>
  <si>
    <t>https://solveplan.com/dashboard/</t>
  </si>
  <si>
    <t>Dashboard - Solveplan</t>
  </si>
  <si>
    <t>Ganhe clareza total em tempo real. Com os dashboards da Solveplan, você transforma dados complexos em insights estratégicos, organizando KPIs e relatórios em</t>
  </si>
  <si>
    <t>https://solveplan.com/agro-graos/</t>
  </si>
  <si>
    <t>Agro Grãos - Solveplan</t>
  </si>
  <si>
    <t>Com o aumento contínuo no custo dos insumos, a variação nos preços das commodities e a pressão por margens mais saudáveis, o planejamento agrícola deixou de</t>
  </si>
  <si>
    <t>https://solveplan.com/agro-usinas/</t>
  </si>
  <si>
    <t>Agro Usinas - Solveplan</t>
  </si>
  <si>
    <t>Custos operacionais, mercado instável e pressão por resultados exigem das usinas uma nova abordagem no planejamento. Nossa solução integra ERP agrícola e SAP</t>
  </si>
  <si>
    <t>https://solveplan.com/investimentos/</t>
  </si>
  <si>
    <t>INVESTIMENTOS - Solveplan</t>
  </si>
  <si>
    <t>Automatize o planejamento de investimentos com controle total dos projetos, unindo projeções financeiras, análise de CAPEX e decisões mais ágeis com dados</t>
  </si>
  <si>
    <t>https://solveplan.com/planejamento-de-opex/</t>
  </si>
  <si>
    <t>Planejamento de OPEX - Solveplan</t>
  </si>
  <si>
    <t>Impulsione a eficiência do seu negócio com um planejamento robusto, dinâmico e conectado aos objetivos estratégicos da empresa. A solução de Planejamento de</t>
  </si>
  <si>
    <t>https://solveplan.com/historias-classicas/</t>
  </si>
  <si>
    <t>Histórias clássicas - Solveplan</t>
  </si>
  <si>
    <t>A SAP anunciou a descontinuação das Histórias Clássicas no SAP Analytics Cloud e essa mudança pode impactar diretamente análises, ciclos de planejamento e</t>
  </si>
  <si>
    <t>https://solveplan.com/planejamento/</t>
  </si>
  <si>
    <t>Planejamento - Solveplan</t>
  </si>
  <si>
    <t>Planejar é antecipar, direcionar e executar com inteligência. Com a solução SAP Analytics Cloud, sua empresa projeta cenários, alinha estratégias e transforma</t>
  </si>
  <si>
    <t>https://solveplan.com/cookies/</t>
  </si>
  <si>
    <t>Cookies - Solveplan</t>
  </si>
  <si>
    <t>Um arquivo de texto que armazena informações como sua preferência de idioma para um site. Quando você visita o site novamente mais tarde, esse cookie é</t>
  </si>
  <si>
    <t>https://solveplan.com/eventos/</t>
  </si>
  <si>
    <t>Eventos - Solveplan</t>
  </si>
  <si>
    <t>Eventos Search</t>
  </si>
  <si>
    <t>description fora de 120-160; title curto</t>
  </si>
  <si>
    <t>https://solveplan.com/noticias/</t>
  </si>
  <si>
    <t>Notícias - Solveplan</t>
  </si>
  <si>
    <t>Notícias Search</t>
  </si>
  <si>
    <t>https://solveplan.com/responsabilidade-e-disclosure/</t>
  </si>
  <si>
    <t>Responsabilidade e Disclosure - Solveplan</t>
  </si>
  <si>
    <t>Na Solveplan, consideramos a segurança de nossos sistemas prioridade máxima. Não importa quanto estamos atentos com a segurança do sistema, ainda podem</t>
  </si>
  <si>
    <t>https://solveplan.com/cases-abertos/</t>
  </si>
  <si>
    <t>Cases Abertos - Solveplan</t>
  </si>
  <si>
    <t>matrix Energia</t>
  </si>
  <si>
    <t>sem H1; description fora de 120-160; title curto; não deveria estar indexada</t>
  </si>
  <si>
    <t>https://solveplan.com/termos-de-uso/</t>
  </si>
  <si>
    <t>Termos de uso - Solveplan</t>
  </si>
  <si>
    <t>A SOLVEPLAN declara que o tratamento de dados pessoais de clientes, parceiros, corpo de funcionário e prestadores de serviço durante e após a relação</t>
  </si>
  <si>
    <t>https://solveplan.com/privacy-policy/</t>
  </si>
  <si>
    <t>Política de Privacidade - Solveplan</t>
  </si>
  <si>
    <t>A SOLVEPLAN compromete-se a proteger a privacidade de todos os dados/informações obtidos dos clientes, parceiros e fornecedores nos termos da Lei nº</t>
  </si>
  <si>
    <t>https://solveplan.com/aceleradores/</t>
  </si>
  <si>
    <t>Aceleradores - Solveplan</t>
  </si>
  <si>
    <t>Transforme dados em decisões inteligentes com o SAP Analytics Cloud integrando análise preditiva, planejamento estratégico e visualização em tempo real</t>
  </si>
  <si>
    <t>title curto</t>
  </si>
  <si>
    <t>https://solveplan.com/cases/</t>
  </si>
  <si>
    <t>Cases - Solveplan</t>
  </si>
  <si>
    <t>Cases de Sucesso</t>
  </si>
  <si>
    <t>post</t>
  </si>
  <si>
    <t>https://solveplan.com/blog/</t>
  </si>
  <si>
    <t>Blog - Solveplan</t>
  </si>
  <si>
    <t>sem H1; sem description; title curto</t>
  </si>
  <si>
    <t>https://solveplan.com/blog/sap-datasphere-x-sap-bw4hana/</t>
  </si>
  <si>
    <t>nova</t>
  </si>
  <si>
    <t>SAP Datasphere ou SAP BW/4HANA: qual escolher | Solveplan</t>
  </si>
  <si>
    <t>Entenda a diferença entre SAP Datasphere e SAP BW/4HANA, quando migrar e como escolher a solução certa de data warehousing para sua empresa.</t>
  </si>
  <si>
    <t>URL nova desde 28/07</t>
  </si>
  <si>
    <t>https://solveplan.com/blog/sustentacao-analitica-sap-pos-go-live-erp/</t>
  </si>
  <si>
    <t>Sustentação Analítica SAP: 3 Pilares Pós Go-Live de ERP - Solveplan</t>
  </si>
  <si>
    <t>A maioria das empresas trata o go-live do ERP SAP como linha de chegada. Entenda o que é sustentação analítica SAP, seus 3 pilares e por que 33,31% das empresas vão trocar de ERP até 2026.</t>
  </si>
  <si>
    <t>description fora de 120-160; title longo</t>
  </si>
  <si>
    <t>https://solveplan.com/blog/gestao-de-ambientes-sap-datasphere/</t>
  </si>
  <si>
    <t>Gestão de ambientes SAP Datasphere: 3 telas que não bastam | Solveplan</t>
  </si>
  <si>
    <t>Gestão de ambientes SAP Datasphere vai além do monitoramento nativo. Veja por que a tela mostra o sintoma e o que falta para gestão ativa.</t>
  </si>
  <si>
    <t>title longo</t>
  </si>
  <si>
    <t>https://solveplan.com/blog/ams-como-ele-impulsiona-as-solucoes-analiticas-da-sua-empresa/</t>
  </si>
  <si>
    <t>AMS: como ele impulsiona as soluções analíticas da sua empresa? - Solveplan</t>
  </si>
  <si>
    <t>Em um mercado onde os dados são o novo petróleo, ter a capacidade de extrair valor desses ativos e transformá-lo em insights estratégicos é crucial para a</t>
  </si>
  <si>
    <t>https://solveplan.com/blog/gestao-de-consumo-sap-bdc-custos/</t>
  </si>
  <si>
    <t>Gestão de consumo SAP BDC: 4 causas de custo | Solveplan</t>
  </si>
  <si>
    <t>Gestão de consumo SAP BDC: entenda as 4 causas de custos não planejados no Datasphere e como estruturar governança e previsibilidade.</t>
  </si>
  <si>
    <t>https://solveplan.com/blog/sap-business-data-cloud-knowledge-core/</t>
  </si>
  <si>
    <t>SAP Business Data Cloud Knowledge Core: a camada que os agentes SAP precisam</t>
  </si>
  <si>
    <t>O SAP Business Data Cloud é o Knowledge Core que transforma o SAP Knowledge Graph genérico no mapa de dados da sua empresa — com Domain Models, data products governados e governança nativa para agentes SAP</t>
  </si>
  <si>
    <t>https://solveplan.com/blog/sap-knowledge-graph/</t>
  </si>
  <si>
    <t>SAP Knowledge Graph: o que é e por que os agentes SAP dependem dele</t>
  </si>
  <si>
    <t>O SAP Knowledge Graph mapeia 452 mil tabelas do S/4HANA para dar contexto real aos agentes SAP. Entenda a abordagem neuro-simbólica e o impacto para o seu negócio</t>
  </si>
  <si>
    <t>https://solveplan.com/blog/sap-business-ai-platform/</t>
  </si>
  <si>
    <t>SAP Business AI Platform: o que mudou no SAPPHIRE 2026 e o que isso significa para sua empresa</t>
  </si>
  <si>
    <t>Durante o SAP SAPPHIRE Orlando 2026, a SAP unificou BTP, BDC e AI Foundation em uma única plataforma de IA. Entenda o que muda e o que sua empresa precisa fazer agora.</t>
  </si>
  <si>
    <t>https://solveplan.com/blog/sap-joule-work/</t>
  </si>
  <si>
    <t>SAP Joule Work: de assistente de chat a camada operacional do ERP - Solveplan</t>
  </si>
  <si>
    <t>O SAP Joule Work executa processos em linguagem natural — lançamentos, workflows e análises no SAP Datasphere. Entenda o que mudou no Joule e o impacto para usuários SAP.</t>
  </si>
  <si>
    <t>https://solveplan.com/blog/sap-anthropic-parceria/</t>
  </si>
  <si>
    <t>SAP Anthropic: como o Claude opera em 3 domínios do ERP SAP</t>
  </si>
  <si>
    <t>A parceria SAP Anthropic integra o Claude como modelo de raciocínio dos agentes Joule. Entenda o que isso significa para finanças, RH e compras no seu ambiente SAP.</t>
  </si>
  <si>
    <t>description fora de 120-160</t>
  </si>
  <si>
    <t>https://solveplan.com/blog/governanca-dados-financeiros-sap-bdc/</t>
  </si>
  <si>
    <t>Governança de Dados Financeiros: Como Estruturar com SAP BDC</t>
  </si>
  <si>
    <t>Entenda como estruturar a governança de dados financeiros com SAP BDC, integrar sistemas e tomar decisões com dados confiáveis em tempo real.</t>
  </si>
  <si>
    <t>https://solveplan.com/blog/sap-business-data-cloud-governanca-financeira/</t>
  </si>
  <si>
    <t>SAP Business Data Cloud: 5 desafios na governança financeira - Solveplan</t>
  </si>
  <si>
    <t>O SAP Business Data Cloud está transformando a governança financeira nas empresas ao integrar dados, automatizar processos e melhorar a qualidade das decisões</t>
  </si>
  <si>
    <t>https://solveplan.com/blog/sap-bdc-com-cloud-ia-joule/</t>
  </si>
  <si>
    <t>Joule e SAP BDC: o que muda com a IA integrada à governança de dados? - Solveplan</t>
  </si>
  <si>
    <t>Descubra como a integração entre Joule e SAP BDC transforma a governança de dados, unifica informações e fortalece decisões estratégicas.</t>
  </si>
  <si>
    <t>https://solveplan.com/blog/planejamento-financeiro/planejamento-financeiro-2026/</t>
  </si>
  <si>
    <t>Planejamento financeiro 2026: como estruturar o orçamento com o SAC Planning? - Solveplan</t>
  </si>
  <si>
    <t>Planejamento financeiro 2026: como estruturar o orçamento com o SAC Planning? Descubra como estruturar o orçamento de 2026 com o SAC Planning e alavancar a performance financeira da sua empresa com dados confiáveis.</t>
  </si>
  <si>
    <t>https://solveplan.com/blog/checklist-dados-processos-inicio-do-ano/</t>
  </si>
  <si>
    <t>Checklist estratégico 2026: o que revisar nos dados e processos neste início de ano - Solveplan</t>
  </si>
  <si>
    <t>Neste início de ano, saiba o que revisar em dados, processos e dashboards para garantir um ciclo de planejamento mais ágil, seguro e eficiente. Leia o checklist prático da SolvePlan.</t>
  </si>
  <si>
    <t>https://solveplan.com/blog/planilhas/por-que-planilhas-nao-sao-suficientes-para-decisoes-estrategicas/</t>
  </si>
  <si>
    <t>Por que planilhas não são suficientes para decisões estratégicas? - Solveplan</t>
  </si>
  <si>
    <t>Fazendo a analogia, se os mapas de papel foram substituídos por aplicativos que são rotas em tempo real, por que algumas empresas ainda dependem de planilhas?</t>
  </si>
  <si>
    <t>https://solveplan.com/blog/planejamento-financeiro/health-analytics-como-melhorar-o-planejamento-da-industria-da-saude/</t>
  </si>
  <si>
    <t>Health Analytics: como melhorar o planejamento da indústria da saúde? - Solveplan</t>
  </si>
  <si>
    <t>“O Health Analytics é o diário de bordo da indústria da saúde do futuro”.</t>
  </si>
  <si>
    <t>https://solveplan.com/blog/sap-analytics-cloud/sap-analytics-cloud-como-ele-revoluciona-a-consolidacao-societaria/</t>
  </si>
  <si>
    <t>SAP Analytics Cloud: como ele revoluciona a consolidação societária? - Solveplan</t>
  </si>
  <si>
    <t>Ter um processo simplificado e estruturado da consolidação societária é uma meta complexa de ser atingida por muitas empresas que buscam otimizar suas</t>
  </si>
  <si>
    <t>https://solveplan.com/blog/sap-business-data-cloud/o-que-muda-com-a-chegada-do-sap-business-data-cloud/</t>
  </si>
  <si>
    <t>O que muda com a chegada do SAP Business Data Cloud? - Solveplan</t>
  </si>
  <si>
    <t>O formato do mercado atual mudou completamente a forma como as empresas operam. E, a espinha dorsal deste movimento, sem dúvidas, são os dados. Diante desse</t>
  </si>
  <si>
    <t>https://solveplan.com/blog/gestao-de-dados-como-realizar-de-forma-eficiente-nas-empresas/</t>
  </si>
  <si>
    <t>Gestão de dados: como realizar de forma eficiente nas empresas? - Solveplan</t>
  </si>
  <si>
    <t>Toda empresa lida com um alto volume de informações diariamente, o que exige delas um investimento contínuo em uma boa gestão de dados, prezando pela</t>
  </si>
  <si>
    <t>https://solveplan.com/blog/quais-as-principais-tendencias-de-tecnologia-e-negocios-para-2025/</t>
  </si>
  <si>
    <t>Quais as principais tendências de tecnologia e negócios para 2025? - Solveplan</t>
  </si>
  <si>
    <t>Mais um ano chegou, e a pergunta que não quer calar no mundo dos negócios e TI é: o que virá pela frente?</t>
  </si>
  <si>
    <t>https://solveplan.com/blog/qual-o-papel-da-sustentacao-de-projetos-no-planejamento-orcamentario/</t>
  </si>
  <si>
    <t>Qual o papel da sustentação de projetos no planejamento orçamentário? - Solveplan</t>
  </si>
  <si>
    <t>O papel da sustentação de projetos no planejamento orçamentário é assegurar que a saúde financeira e a estratégia da empresa continuarão sendo aplicadas a</t>
  </si>
  <si>
    <t>https://solveplan.com/blog/por-que-investir-em-data-analytics-e-tao-importante/</t>
  </si>
  <si>
    <t>Por que investir em Data &amp;amp; Analytics é tão importante? - Solveplan</t>
  </si>
  <si>
    <t>Investir na gestão de dados deixou, há muito tempo, de ser um diferencial. Hoje, tendo em vista a quantidade de informações que são geradas diariamente, se tornou uma necessidade. Data &amp;amp; Analytics é uma ferramenta que tem a capacidade de analisar uma alta quantidade de dados, contribuindo para tomadas de decisões efetivas.</t>
  </si>
  <si>
    <t>https://solveplan.com/blog/por-que-automatizar-o-planejamento-orcamentario-2/</t>
  </si>
  <si>
    <t>Por que automatizar o planejamento orçamentário? - Solveplan</t>
  </si>
  <si>
    <t>O planejamento orçamentário é uma estratégia eficaz para as empresas terem maior controle e eficiência no controle das operações financeiras. Automatizar tarefas, além de trazer uma gama de benefícios, ajuda na melhor eficiência e agilidade nas operações.</t>
  </si>
  <si>
    <t>https://solveplan.com/blog/quais-as-vantagens-da-consolidacao-atraves-do-sap-analytics-cloud/</t>
  </si>
  <si>
    <t>Quais as vantagens da consolidação através do SAP Analytics Cloud? - Solveplan</t>
  </si>
  <si>
    <t>As vantagens da consolidação através do SAP Analytics Cloud, solução de análise e planejamento de dados em nuvem, vão desde o preparar e consolidar dados de planejamento, até automatizar processos críticos, como validação de informações e conversão de moedas.</t>
  </si>
  <si>
    <t>https://solveplan.com/blog/sap-analytics-cloud-quais-seus-beneficios-para-a-governanca-de-dados/</t>
  </si>
  <si>
    <t>SAP Analytics Cloud: Quais seus benefícios para a governança de dados? - Solveplan</t>
  </si>
  <si>
    <t>O SAP Analytics Cloud é uma das ferramentas mais robustas do mercado para inteligência de negócio e análise de dados, com funcionalidades que permitem o acesso em tempo real às informações corporativas a fim de tomadas de decisões mais assertivas para ter mais governança de dados.</t>
  </si>
  <si>
    <t>https://solveplan.com/blog/sap-analytics-cloud-quais-seus-beneficios-para-a-governanca-de-dados-2/</t>
  </si>
  <si>
    <t>SAP Analytics Cloud: como ele apoia a consolidação e planejamento empresarial? - Solveplan</t>
  </si>
  <si>
    <t>Consolidar dados tendo informações em tempo real que embasem o planejamento empresarial é um cuidado essencial para o sucesso corporativo, algo que o SAP Analytics Cloud (SAC) pode contribuir!</t>
  </si>
  <si>
    <t>https://solveplan.com/blog/planejamento-de-rh-guia-completo-para-elaborar-o-seu/</t>
  </si>
  <si>
    <t>Planejamento de RH: guia completo para elaborar o seu - Solveplan</t>
  </si>
  <si>
    <t>Com um bom planejamento de RH, as empresas conseguirão unir pilares essenciais para o destaque competitivo: as metas corporativas, e seus ativos preciosos que conduzirão as estratégias definidas, seu capital humano.</t>
  </si>
  <si>
    <t>https://solveplan.com/blog/consolidacao-societaria-o-que-e-e-quais-os-seus-beneficios-2/</t>
  </si>
  <si>
    <t>Consolidação societária: o que é e quais os seus benefícios? - Solveplan</t>
  </si>
  <si>
    <t>A consolidação societária ajuda a fortalecer a competitividade do negócio uma vez que contribui para a melhor visualização e gerenciamento das operações.</t>
  </si>
  <si>
    <t>https://solveplan.com/blog/como-o-sap-analytics-cloud-impulsiona-a-consolidacao-do-agronegocio/</t>
  </si>
  <si>
    <t>Como o SAP Analytics Cloud impulsiona a consolidação do agronegócio? - Solveplan</t>
  </si>
  <si>
    <t>Investir em ferramentas como o SAP Analytics Cloud e estratégia de consolidação são elementos indispensáveis para garantir que o segmento do agronegócio possa avançar constantemente.</t>
  </si>
  <si>
    <t>https://solveplan.com/blog/sap-business-data-cloud-tudo-o-que-voce-precisa-saber/</t>
  </si>
  <si>
    <t>SAP Business Data Cloud: tudo o que você precisa saber! - Solveplan</t>
  </si>
  <si>
    <t>Se a sua empresa quer se diferenciar dos concorrentes e se destacar em termos de gestão corporativa, o SAP Business Data Cloud será, certamente, uma solução estratégica para alavancar este potencial.</t>
  </si>
  <si>
    <t>https://solveplan.com/blog/clean-core/clean-core-em-data-analytics-como-ele-melhora-a-gestao-de-dados/</t>
  </si>
  <si>
    <t>Clean Core em Data &amp;amp; Analytics: como ele melhora a gestão de dados? - Solveplan</t>
  </si>
  <si>
    <t>https://solveplan.com/blog/planejamento-de-rh/planejamento-de-rh-quais-os-maiores-desafios-e-como-supera-los/</t>
  </si>
  <si>
    <t>Planejamento de RH: quais os maiores desafios e como superá-los? - Solveplan</t>
  </si>
  <si>
    <t>Ter um bom planejamento de RH vai muito além do que atingir os objetivos corporativos, focando alcançar um desempenho muito mais estratégico que una os</t>
  </si>
  <si>
    <t>https://solveplan.com/blog/sap-datasphere-como-ajuda-no-planejamento-empresarial/</t>
  </si>
  <si>
    <t>SAP Datasphere: como ajuda no planejamento empresarial? - Solveplan</t>
  </si>
  <si>
    <t>O SAP Datasphere ajuda no planejamento empresarial pois trata-se de uma ferramenta que apoia no gerenciamento de dados facilitando o acesso e obtenção de</t>
  </si>
  <si>
    <t>https://solveplan.com/blog/projecoes-imprecisas-como-evitar-erros-estrategicos/</t>
  </si>
  <si>
    <t>Projeções imprecisas: como evitar erros estratégicos? - Solveplan</t>
  </si>
  <si>
    <t>Em um ambiente de negócios marcado por volatilidade e transformações constantes, a capacidade de antecipar o futuro com precisão emerge não apenas como uma</t>
  </si>
  <si>
    <t>https://solveplan.com/blog/sap-analytics-cloud-como-ele-favorece-o-fluxo-de-caixa/</t>
  </si>
  <si>
    <t>SAP Analytics Cloud: como ele favorece o fluxo de caixa? - Solveplan</t>
  </si>
  <si>
    <t>Um fluxo de caixa saudável é uma peça-chave para a prosperidade sustentável corporativa, tendo uma visão mais detalhada acerca das entradas e saídas</t>
  </si>
  <si>
    <t>case</t>
  </si>
  <si>
    <t>https://solveplan.com/case/matrix-energia/</t>
  </si>
  <si>
    <t>Matrix Energia realiza consolidação societária através do SAP Analytics Cloud   - Solveplan</t>
  </si>
  <si>
    <t>Matrix Energia, em apenas três meses, conquistou automação, agilidade e autonomia nos processos financeiros, transformando suas operações e reduzindo significativamente os prazos de fechamento.</t>
  </si>
  <si>
    <t>https://solveplan.com/case/m-dias-branco-implementa-sap-analytics-cloud-em-10-meses-com-96-de-reducao/</t>
  </si>
  <si>
    <t>M. Dias Branco implementa SAP Analytics Cloud em 10 meses com 96% de redução tempo nas operações orçamentárias - Solveplan</t>
  </si>
  <si>
    <t>M. Dias Branco reduziu 96% do tempo de orçamento ao adotar SAP Analytics Cloud com a SolvePlan, integrando dados e acelerando decisões.</t>
  </si>
  <si>
    <t>https://solveplan.com/case/lins-agroindustrial-sap-analytics-cloud/</t>
  </si>
  <si>
    <t>SAP Analytics Cloud Agronegócio | Lins Agroindustrial</t>
  </si>
  <si>
    <t>Veja como a Lins Agroindustrial migrou para o SAP Analytics Cloud e reduziu 90% do tempo de processamento com a SolvePlan.</t>
  </si>
  <si>
    <t>https://solveplan.com/case/zilor-implementa-sac-em-6-meses-e-elimina-uso-de-planilhas-eletronicas/</t>
  </si>
  <si>
    <t>Zilor implementa SAC em 6 meses e elimina uso de planilhas eletrônicas - Solveplan</t>
  </si>
  <si>
    <t>Zilor implementou o SAP Analytics Cloud em 6 meses com a Solveplan, eliminando planilhas eletrônicas e reduzindo de 14 dias úteis para agilidade total na consolidação orçamentária.</t>
  </si>
  <si>
    <t>noticia</t>
  </si>
  <si>
    <t>https://solveplan.com/noticia/sap-partner-awards-2026-solveplan-lac/</t>
  </si>
  <si>
    <t>SolvePlan é reconhecida no SAP Partner Awards 2026 para América Latina (LAC) - Solveplan</t>
  </si>
  <si>
    <t>A SolvePlan foi premiada no SAP Partner Awards 2026 – América Latina. Entenda o impacto do reconhecimento e o que isso significa para o mercado SAP.</t>
  </si>
  <si>
    <t>https://solveplan.com/noticia/melhor-parceiro-sap-business-data-cloud-2025/</t>
  </si>
  <si>
    <t>Solveplan é reconhecida no Partner Excellence Awards 2025 como Melhor Parceiro SAP Business Data Cloud - Solveplan</t>
  </si>
  <si>
    <t>Solveplan é reconhecida como Melhor Parceiro SAP Business Data Cloud 2025 no Partner Excellence Awards. Saiba como o SAP BDC transforma dados e analytics.</t>
  </si>
  <si>
    <t>https://solveplan.com/noticia/solveplan-e-reconhecida-no-sap-partner-success-meeting-q1-2025-em-3-categorias/</t>
  </si>
  <si>
    <t>Solveplan é reconhecida no SAP Partner Success Meeting Q1/2025 em 3 categorias - Solveplan</t>
  </si>
  <si>
    <t>A Solveplan foi premiada no SAP Partner Success Meeting Q1/2025, sendo reconhecida em três categorias do Excellence Award.</t>
  </si>
  <si>
    <t>https://solveplan.com/noticia/melhor-parceira-do-ecossistema-sap-2022/</t>
  </si>
  <si>
    <t>Melhor parceira do ecossistema SAP 2022 - Solveplan</t>
  </si>
  <si>
    <t>Prêmio Best Partner 2022  Solveplan é reconhecida como melhor parceiro SAP de 2022</t>
  </si>
  <si>
    <t>https://solveplan.com/noticia/solveplan-recebe-o-premio-de-quote-achiever-no-ecossistema-sap-no-q1-e-q2-de-2024/</t>
  </si>
  <si>
    <t>SolvePlan Recebe o Prêmio de ‘Quote Achiever’ no Ecossistema SAP no Q1 e Q2 de 2024 - Solveplan</t>
  </si>
  <si>
    <t>Reconhecimento reflete o compromisso com a excelência e o alto desempenho em soluções SAP</t>
  </si>
  <si>
    <t>evento</t>
  </si>
  <si>
    <t>https://solveplan.com/evento/webinar-data-first-klabin-sap-datasphere/</t>
  </si>
  <si>
    <t>Webinar SAP Datasphere: case Klabin em 50 min | Solveplan</t>
  </si>
  <si>
    <t>Webinar gratuito em 21/10, das 10h às 10h50: veja como a Klabin construiu a fundação de dados no SAP Datasphere para sustentar IA.</t>
  </si>
  <si>
    <t>https://solveplan.com/evento/sap-innovation-day-dados-ia-sap-bdc/</t>
  </si>
  <si>
    <t>SAP Innovation Day: Dados e IA com SAP BDC | Solveplan</t>
  </si>
  <si>
    <t>Participe do SAP Innovation Day na SAP Brasil e veja como preparar dados SAP e non-SAP para IA, analytics e decisões com SAP Business Data Cloud.</t>
  </si>
  <si>
    <t>mais de 1 H1</t>
  </si>
  <si>
    <t>https://solveplan.com/evento/solveplan-no-sap-now-ai-tour-brazil-2026/</t>
  </si>
  <si>
    <t>Solveplan no SAP NOW AI Tour Brazil 2026 | Estande 03</t>
  </si>
  <si>
    <t>A Solveplan, Melhor Parceiro SAP BDC da América Latina, participa do SAP NOW AI Tour Brazil 2026 em São Paulo. Confira nossa agenda no estande 03.</t>
  </si>
  <si>
    <t>https://solveplan.com/evento/sap-xfpa-innovation-day-planejamento-e-consolidacao-para-a-gestao-eficiente/</t>
  </si>
  <si>
    <t>SAP XFP&amp;amp;A Innovation Day: Planejamento e Consolidação para a Gestão Eficiente - Solveplan</t>
  </si>
  <si>
    <t>SAP XFP&amp;amp;A Innovation Day: Planejamento e Consolidação para a Gestão Eficiente</t>
  </si>
  <si>
    <t>https://solveplan.com/evento/sap-btp-experience-2026/</t>
  </si>
  <si>
    <t>SAP BTP Experience 2026 - Solveplan</t>
  </si>
  <si>
    <t>Participe do SAP BTP Experience 2026, evento técnico da SAP sobre Business Data Cloud, Analytics, Planning e arquitetura de dados no SAP Labs.</t>
  </si>
  <si>
    <t>https://solveplan.com/evento/sap-btp-experience-em-2025/</t>
  </si>
  <si>
    <t>SAP BTP Experience em 2025 - Solveplan</t>
  </si>
  <si>
    <t>SAP BTP Experience em 2025 – Além do ver. Começar</t>
  </si>
  <si>
    <t>https://solveplan.com/evento/webinar-conectando-fluxo-de-caixa-e-orcamento-case-aco-cearense/</t>
  </si>
  <si>
    <t>WEBINAR: Conectando Fluxo de Caixa e Orçamento: Case Aço Cearense - Solveplan</t>
  </si>
  <si>
    <t>Participe deste webinar e descubra como automatizar os processos financeiros da empresa. Demonstraremos como é feita a integração entre o fluxo de caixa com o orçamento para automatizar as análises de forma interativa e utilização de análises preditivas para trazer mais agilidade, precisão e controle.</t>
  </si>
  <si>
    <t>https://solveplan.com/evento/webinar-rfi-revisao-financeira-integrada-entre-o-sap-ibp-e-sap-analytics/</t>
  </si>
  <si>
    <t>WEBINAR: (RFI) Revisão Financeira Integrada entre o SAP IBP e SAP Analytics - Solveplan</t>
  </si>
  <si>
    <t>Neste evento, você vai conhecer na prática o conceito de Revisão Financeira Integrada (RFI), aplicado ao ciclo de planejamento (S&amp;amp;OP) e evoluindo para o modelo xP&amp;amp;A (Extended Planning &amp;amp; Analysis), que permite uma análise financeira contínua, alinhada aos objetivos operacionais e às demandas do mercado.</t>
  </si>
  <si>
    <t>https://solveplan.com/evento/solveplan-no-sap-now-ai-tour-brazil-2025-com-ia-e-performance/</t>
  </si>
  <si>
    <t>SolvePlan no SAP NOW AI Tour Brazil 2025 com IA e Performance - Solveplan</t>
  </si>
  <si>
    <t>Nos dias 19 e 20 de agosto de 2025, o SAP NOW AI Tour Brazil reúne as maiores lideranças empresariais do país para falar sobre transformação digital, automação, inteligência artificial e decisões baseadas em dados.</t>
  </si>
  <si>
    <t>banner</t>
  </si>
  <si>
    <t>https://solveplan.com/banner/banner-2/</t>
  </si>
  <si>
    <t>Banner 2 - Solveplan</t>
  </si>
  <si>
    <t>sem description; title curto; não deveria estar indexada</t>
  </si>
  <si>
    <t>https://solveplan.com/banner/banner-3/</t>
  </si>
  <si>
    <t>Banner 3 - Solveplan</t>
  </si>
  <si>
    <t>midia-em-acelerador</t>
  </si>
  <si>
    <t>https://solveplan.com/midia-em-acelerador/analytics/</t>
  </si>
  <si>
    <t>video-aceleradores</t>
  </si>
  <si>
    <t>https://solveplan.com/video-aceleradores/video-teste/</t>
  </si>
  <si>
    <t>Vídeo Teste - Solveplan</t>
  </si>
  <si>
    <t>Auditoria consolidada — solveplan.com</t>
  </si>
  <si>
    <t>Consolida as auditorias de 28/07 (site), 30/07 (Datasphere), 17/09 (BW/4HANA) e 25/09 (home + varredura de 91 URLs). Atualizado em 25/09/2026 (segurança + 72 titles/descriptions/noindex aplicados).</t>
  </si>
  <si>
    <t>Diagnóstico em uma frase</t>
  </si>
  <si>
    <t>A base técnica é boa (servidor rápido, Rank Math, sitemap e tags de rastreamento), mas o site não vende SAP BDC: a home não cita o BDC nem o prêmio de Melhor Parceiro BDC 2026 LATAM, e a página BDC (65% do tráfego, 78,8% de rejeição) é rasa. Os problemas de SEO apontados em julho (sem H1, schema errado, alts vazios) seguem abertos nas páginas institucionais.</t>
  </si>
  <si>
    <t>Indicador</t>
  </si>
  <si>
    <t>28/07</t>
  </si>
  <si>
    <t>25/09</t>
  </si>
  <si>
    <t>Leitura</t>
  </si>
  <si>
    <t>Páginas institucionais sem H1</t>
  </si>
  <si>
    <t>Só 1 página(s) corrigida(s) desde julho (/sap-datasphere/)</t>
  </si>
  <si>
    <t>URLs no sitemap</t>
  </si>
  <si>
    <t>Inclui 5 URLs de teste/lixo que devem sair do índice</t>
  </si>
  <si>
    <t>Score home (0-100)</t>
  </si>
  <si>
    <t>-</t>
  </si>
  <si>
    <t>Potencial de 78 sem performance e até 98 com PageSpeed bom</t>
  </si>
  <si>
    <t>Score /sap-datasphere/ (0-100)</t>
  </si>
  <si>
    <t>reauditar</t>
  </si>
  <si>
    <t>H1, perguntas, snippet e prova social já corrigidos</t>
  </si>
  <si>
    <t>Score post BW/4HANA (0-100)</t>
  </si>
  <si>
    <t>38 (17/09)</t>
  </si>
  <si>
    <t>Publicado com title, description, slug e E-E-A-T corrigidos</t>
  </si>
  <si>
    <t>PageSpeed</t>
  </si>
  <si>
    <t>não verificado</t>
  </si>
  <si>
    <t>Cota da API esgotada: rodar manualmente em pagespeed.web.dev</t>
  </si>
  <si>
    <t>Plano de ação — status</t>
  </si>
  <si>
    <t>Qtd</t>
  </si>
  <si>
    <t>Total</t>
  </si>
  <si>
    <t>Próximos passos (ordem sugerida)</t>
  </si>
  <si>
    <t>Quando</t>
  </si>
  <si>
    <t>Por quê</t>
  </si>
  <si>
    <t>CONCLUÍDO 25/09: Wordfence, bloqueio de usuários e xmlrpc, backup</t>
  </si>
  <si>
    <t>Frente de segurança fechada</t>
  </si>
  <si>
    <t>H1 + schema + noindex do lixo + titles/descriptions no site todo</t>
  </si>
  <si>
    <t>Semana 1</t>
  </si>
  <si>
    <t>Cerca de 2 h no painel; corrige a maior parte do SEO técnico</t>
  </si>
  <si>
    <t>Home: hero BDC, prêmio, CTA certo, snippet e FAQ</t>
  </si>
  <si>
    <t>Alinha a vitrine com a prioridade comercial</t>
  </si>
  <si>
    <t>Reescrever a página BDC + LP para ads</t>
  </si>
  <si>
    <t>Semanas 2-3</t>
  </si>
  <si>
    <t>Maior alavanca de pipeline (65% do tráfego)</t>
  </si>
  <si>
    <t>WebP, og:image, alts, typos; FAQPage schema na Datasphere e no BW/4HANA</t>
  </si>
  <si>
    <t>Semana 3</t>
  </si>
  <si>
    <t>Acabamento</t>
  </si>
  <si>
    <t>Rodar PageSpeed e reauditar home, BDC e Datasphere</t>
  </si>
  <si>
    <t>Depois</t>
  </si>
  <si>
    <t>Medir evolução</t>
  </si>
  <si>
    <t>Abas: Plano de ação (todas as ações, com status e filtro) · Scorecards (as 3 páginas auditadas lado a lado) · Varredura 91 URLs (title, description e H1 de cada URL, com comparação com julho)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</si>
</sst>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b/>
      <sz val="18"/>
      <color rgb="FFFFFFFF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A0837"/>
        <bgColor indexed="64"/>
      </patternFill>
    </fill>
    <fill>
      <patternFill patternType="solid">
        <fgColor rgb="FFD9F7DA"/>
        <bgColor indexed="64"/>
      </patternFill>
    </fill>
    <fill>
      <patternFill patternType="solid">
        <fgColor rgb="FFF8D7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2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0" xfId="0" applyAlignment="1">
      <alignment wrapText="1"/>
    </xf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6" borderId="0" xfId="0" applyFill="1" applyAlignment="1">
      <alignment vertical="top" wrapText="1"/>
    </xf>
    <xf numFmtId="0" fontId="1" fillId="6" borderId="0" xfId="0" applyFont="1" applyFill="1"/>
    <xf numFmtId="0" fontId="0" fillId="0" borderId="0" xfId="0" applyAlignment="1">
      <alignment wrapText="1"/>
    </xf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5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1" fillId="6" borderId="0" xfId="0" applyFont="1" applyFill="1" applyAlignment="1">
      <alignment horizontal="center"/>
    </xf>
    <xf numFmtId="0" fontId="4" fillId="2" borderId="0" xfId="0" applyFont="1" applyFill="1"/>
    <xf numFmtId="0" fontId="5" fillId="0" borderId="0" xfId="0" applyFont="1"/>
    <xf numFmtId="0" fontId="2" fillId="2" borderId="0" xfId="0" applyFont="1" applyFill="1" applyAlignment="1">
      <alignment vertical="center" wrapText="1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938A3-B3AD-4ACF-9FE1-1B1250A4C035}">
  <dimension ref="B1:E30"/>
  <sheetViews>
    <sheetView showGridLines="0" tabSelected="1" workbookViewId="0"/>
  </sheetViews>
  <sheetFormatPr defaultRowHeight="14.4" x14ac:dyDescent="0.3"/>
  <cols>
    <col min="1" max="1" width="4.77734375" customWidth="1"/>
    <col min="2" max="2" width="44.77734375" customWidth="1"/>
    <col min="3" max="4" width="18.77734375" customWidth="1"/>
    <col min="5" max="5" width="60.77734375" customWidth="1"/>
  </cols>
  <sheetData>
    <row r="1" spans="2:5" ht="34.049999999999997" customHeight="1" x14ac:dyDescent="0.45">
      <c r="B1" s="22" t="s">
        <v>526</v>
      </c>
      <c r="C1" s="22"/>
      <c r="D1" s="22"/>
      <c r="E1" s="22"/>
    </row>
    <row r="2" spans="2:5" x14ac:dyDescent="0.3">
      <c r="B2" s="23" t="s">
        <v>527</v>
      </c>
      <c r="C2" s="23"/>
      <c r="D2" s="23"/>
      <c r="E2" s="23"/>
    </row>
    <row r="4" spans="2:5" x14ac:dyDescent="0.3">
      <c r="B4" s="24" t="s">
        <v>528</v>
      </c>
      <c r="C4" s="24"/>
      <c r="D4" s="24"/>
      <c r="E4" s="24"/>
    </row>
    <row r="5" spans="2:5" ht="61.95" customHeight="1" x14ac:dyDescent="0.3">
      <c r="B5" s="15" t="s">
        <v>529</v>
      </c>
      <c r="C5" s="15"/>
      <c r="D5" s="15"/>
      <c r="E5" s="15"/>
    </row>
    <row r="7" spans="2:5" x14ac:dyDescent="0.3">
      <c r="B7" s="2" t="s">
        <v>530</v>
      </c>
      <c r="C7" s="2" t="s">
        <v>531</v>
      </c>
      <c r="D7" s="2" t="s">
        <v>532</v>
      </c>
      <c r="E7" s="2" t="s">
        <v>533</v>
      </c>
    </row>
    <row r="8" spans="2:5" x14ac:dyDescent="0.3">
      <c r="B8" s="7" t="s">
        <v>534</v>
      </c>
      <c r="C8" s="25">
        <v>30</v>
      </c>
      <c r="D8" s="25">
        <v>28</v>
      </c>
      <c r="E8" s="7" t="s">
        <v>535</v>
      </c>
    </row>
    <row r="9" spans="2:5" x14ac:dyDescent="0.3">
      <c r="B9" s="7" t="s">
        <v>536</v>
      </c>
      <c r="C9" s="25">
        <v>84</v>
      </c>
      <c r="D9" s="25">
        <v>91</v>
      </c>
      <c r="E9" s="7" t="s">
        <v>537</v>
      </c>
    </row>
    <row r="10" spans="2:5" x14ac:dyDescent="0.3">
      <c r="B10" s="7" t="s">
        <v>538</v>
      </c>
      <c r="C10" s="25" t="s">
        <v>539</v>
      </c>
      <c r="D10" s="25">
        <v>26</v>
      </c>
      <c r="E10" s="7" t="s">
        <v>540</v>
      </c>
    </row>
    <row r="11" spans="2:5" x14ac:dyDescent="0.3">
      <c r="B11" s="7" t="s">
        <v>541</v>
      </c>
      <c r="C11" s="25">
        <v>30</v>
      </c>
      <c r="D11" s="25" t="s">
        <v>542</v>
      </c>
      <c r="E11" s="7" t="s">
        <v>543</v>
      </c>
    </row>
    <row r="12" spans="2:5" x14ac:dyDescent="0.3">
      <c r="B12" s="7" t="s">
        <v>544</v>
      </c>
      <c r="C12" s="25" t="s">
        <v>545</v>
      </c>
      <c r="D12" s="25" t="s">
        <v>542</v>
      </c>
      <c r="E12" s="7" t="s">
        <v>546</v>
      </c>
    </row>
    <row r="13" spans="2:5" x14ac:dyDescent="0.3">
      <c r="B13" s="7" t="s">
        <v>547</v>
      </c>
      <c r="C13" s="25" t="s">
        <v>548</v>
      </c>
      <c r="D13" s="25" t="s">
        <v>548</v>
      </c>
      <c r="E13" s="7" t="s">
        <v>549</v>
      </c>
    </row>
    <row r="15" spans="2:5" x14ac:dyDescent="0.3">
      <c r="B15" s="2" t="s">
        <v>550</v>
      </c>
      <c r="C15" s="2" t="s">
        <v>551</v>
      </c>
      <c r="D15" s="2"/>
      <c r="E15" s="2"/>
    </row>
    <row r="16" spans="2:5" x14ac:dyDescent="0.3">
      <c r="B16" s="4" t="s">
        <v>39</v>
      </c>
      <c r="C16" s="17">
        <v>23</v>
      </c>
    </row>
    <row r="17" spans="2:5" x14ac:dyDescent="0.3">
      <c r="B17" s="5" t="s">
        <v>95</v>
      </c>
      <c r="C17" s="17">
        <v>2</v>
      </c>
    </row>
    <row r="18" spans="2:5" x14ac:dyDescent="0.3">
      <c r="B18" s="6" t="s">
        <v>162</v>
      </c>
      <c r="C18" s="17">
        <v>2</v>
      </c>
    </row>
    <row r="19" spans="2:5" x14ac:dyDescent="0.3">
      <c r="B19" s="3" t="s">
        <v>18</v>
      </c>
      <c r="C19" s="17">
        <v>21</v>
      </c>
    </row>
    <row r="20" spans="2:5" x14ac:dyDescent="0.3">
      <c r="B20" s="1" t="s">
        <v>552</v>
      </c>
      <c r="C20" s="26">
        <v>48</v>
      </c>
    </row>
    <row r="22" spans="2:5" x14ac:dyDescent="0.3">
      <c r="B22" s="2" t="s">
        <v>553</v>
      </c>
      <c r="C22" s="2" t="s">
        <v>554</v>
      </c>
      <c r="D22" s="2"/>
      <c r="E22" s="2" t="s">
        <v>555</v>
      </c>
    </row>
    <row r="23" spans="2:5" ht="28.8" x14ac:dyDescent="0.3">
      <c r="B23" s="7" t="s">
        <v>556</v>
      </c>
      <c r="C23" s="15" t="s">
        <v>18</v>
      </c>
      <c r="D23" s="15"/>
      <c r="E23" s="7" t="s">
        <v>557</v>
      </c>
    </row>
    <row r="24" spans="2:5" ht="28.8" x14ac:dyDescent="0.3">
      <c r="B24" s="7" t="s">
        <v>558</v>
      </c>
      <c r="C24" s="15" t="s">
        <v>559</v>
      </c>
      <c r="D24" s="15"/>
      <c r="E24" s="7" t="s">
        <v>560</v>
      </c>
    </row>
    <row r="25" spans="2:5" x14ac:dyDescent="0.3">
      <c r="B25" s="7" t="s">
        <v>561</v>
      </c>
      <c r="C25" s="15" t="s">
        <v>559</v>
      </c>
      <c r="D25" s="15"/>
      <c r="E25" s="7" t="s">
        <v>562</v>
      </c>
    </row>
    <row r="26" spans="2:5" x14ac:dyDescent="0.3">
      <c r="B26" s="7" t="s">
        <v>563</v>
      </c>
      <c r="C26" s="15" t="s">
        <v>564</v>
      </c>
      <c r="D26" s="15"/>
      <c r="E26" s="7" t="s">
        <v>565</v>
      </c>
    </row>
    <row r="27" spans="2:5" ht="28.8" x14ac:dyDescent="0.3">
      <c r="B27" s="7" t="s">
        <v>566</v>
      </c>
      <c r="C27" s="15" t="s">
        <v>567</v>
      </c>
      <c r="D27" s="15"/>
      <c r="E27" s="7" t="s">
        <v>568</v>
      </c>
    </row>
    <row r="28" spans="2:5" ht="28.8" x14ac:dyDescent="0.3">
      <c r="B28" s="7" t="s">
        <v>569</v>
      </c>
      <c r="C28" s="15" t="s">
        <v>570</v>
      </c>
      <c r="D28" s="15"/>
      <c r="E28" s="7" t="s">
        <v>571</v>
      </c>
    </row>
    <row r="30" spans="2:5" ht="31.95" customHeight="1" x14ac:dyDescent="0.3">
      <c r="B30" s="15" t="s">
        <v>572</v>
      </c>
      <c r="C30" s="15"/>
      <c r="D30" s="15"/>
      <c r="E30" s="15"/>
    </row>
  </sheetData>
  <mergeCells count="11">
    <mergeCell ref="C25:D25"/>
    <mergeCell ref="C26:D26"/>
    <mergeCell ref="C27:D27"/>
    <mergeCell ref="C28:D28"/>
    <mergeCell ref="B30:E30"/>
    <mergeCell ref="B1:E1"/>
    <mergeCell ref="B2:E2"/>
    <mergeCell ref="B4:E4"/>
    <mergeCell ref="B5:E5"/>
    <mergeCell ref="C23:D23"/>
    <mergeCell ref="C24:D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5EDEB-9EE9-4E70-9FF7-DF742F088782}">
  <dimension ref="A1:J49"/>
  <sheetViews>
    <sheetView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11.77734375" customWidth="1"/>
    <col min="2" max="2" width="13.77734375" customWidth="1"/>
    <col min="3" max="3" width="24.77734375" customWidth="1"/>
    <col min="4" max="4" width="30.77734375" customWidth="1"/>
    <col min="5" max="5" width="70.77734375" customWidth="1"/>
    <col min="6" max="6" width="45.77734375" customWidth="1"/>
    <col min="7" max="7" width="14.77734375" customWidth="1"/>
    <col min="8" max="9" width="11.77734375" customWidth="1"/>
    <col min="10" max="10" width="26.77734375" customWidth="1"/>
  </cols>
  <sheetData>
    <row r="1" spans="1:10" ht="57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28.8" x14ac:dyDescent="0.3">
      <c r="A2" s="8" t="s">
        <v>10</v>
      </c>
      <c r="B2" s="9" t="s">
        <v>11</v>
      </c>
      <c r="C2" s="9" t="s">
        <v>12</v>
      </c>
      <c r="D2" s="9" t="s">
        <v>13</v>
      </c>
      <c r="E2" s="9" t="s">
        <v>14</v>
      </c>
      <c r="F2" s="9" t="s">
        <v>15</v>
      </c>
      <c r="G2" s="9" t="s">
        <v>16</v>
      </c>
      <c r="H2" s="9" t="s">
        <v>17</v>
      </c>
      <c r="I2" s="10" t="s">
        <v>18</v>
      </c>
      <c r="J2" s="9" t="s">
        <v>19</v>
      </c>
    </row>
    <row r="3" spans="1:10" ht="28.8" x14ac:dyDescent="0.3">
      <c r="A3" s="8" t="s">
        <v>10</v>
      </c>
      <c r="B3" s="9" t="s">
        <v>11</v>
      </c>
      <c r="C3" s="9" t="s">
        <v>12</v>
      </c>
      <c r="D3" s="9" t="s">
        <v>20</v>
      </c>
      <c r="E3" s="9" t="s">
        <v>21</v>
      </c>
      <c r="F3" s="9" t="s">
        <v>22</v>
      </c>
      <c r="G3" s="9" t="s">
        <v>16</v>
      </c>
      <c r="H3" s="9" t="s">
        <v>17</v>
      </c>
      <c r="I3" s="10" t="s">
        <v>18</v>
      </c>
      <c r="J3" s="9" t="s">
        <v>19</v>
      </c>
    </row>
    <row r="4" spans="1:10" ht="28.8" x14ac:dyDescent="0.3">
      <c r="A4" s="8" t="s">
        <v>10</v>
      </c>
      <c r="B4" s="9" t="s">
        <v>11</v>
      </c>
      <c r="C4" s="9" t="s">
        <v>12</v>
      </c>
      <c r="D4" s="9" t="s">
        <v>23</v>
      </c>
      <c r="E4" s="9" t="s">
        <v>24</v>
      </c>
      <c r="F4" s="9" t="s">
        <v>25</v>
      </c>
      <c r="G4" s="9" t="s">
        <v>16</v>
      </c>
      <c r="H4" s="9" t="s">
        <v>17</v>
      </c>
      <c r="I4" s="10" t="s">
        <v>18</v>
      </c>
      <c r="J4" s="9" t="s">
        <v>19</v>
      </c>
    </row>
    <row r="5" spans="1:10" ht="28.8" x14ac:dyDescent="0.3">
      <c r="A5" s="8" t="s">
        <v>10</v>
      </c>
      <c r="B5" s="9" t="s">
        <v>11</v>
      </c>
      <c r="C5" s="9" t="s">
        <v>12</v>
      </c>
      <c r="D5" s="9" t="s">
        <v>26</v>
      </c>
      <c r="E5" s="9" t="s">
        <v>27</v>
      </c>
      <c r="F5" s="9" t="s">
        <v>28</v>
      </c>
      <c r="G5" s="9" t="s">
        <v>16</v>
      </c>
      <c r="H5" s="9" t="s">
        <v>17</v>
      </c>
      <c r="I5" s="10" t="s">
        <v>18</v>
      </c>
      <c r="J5" s="9" t="s">
        <v>19</v>
      </c>
    </row>
    <row r="6" spans="1:10" ht="43.2" x14ac:dyDescent="0.3">
      <c r="A6" s="8" t="s">
        <v>10</v>
      </c>
      <c r="B6" s="9" t="s">
        <v>11</v>
      </c>
      <c r="C6" s="9" t="s">
        <v>12</v>
      </c>
      <c r="D6" s="9" t="s">
        <v>29</v>
      </c>
      <c r="E6" s="9" t="s">
        <v>30</v>
      </c>
      <c r="F6" s="9" t="s">
        <v>31</v>
      </c>
      <c r="G6" s="9" t="s">
        <v>16</v>
      </c>
      <c r="H6" s="9" t="s">
        <v>17</v>
      </c>
      <c r="I6" s="10" t="s">
        <v>18</v>
      </c>
      <c r="J6" s="9" t="s">
        <v>19</v>
      </c>
    </row>
    <row r="7" spans="1:10" ht="28.8" x14ac:dyDescent="0.3">
      <c r="A7" s="9" t="s">
        <v>32</v>
      </c>
      <c r="B7" s="9" t="s">
        <v>33</v>
      </c>
      <c r="C7" s="9" t="s">
        <v>34</v>
      </c>
      <c r="D7" s="9" t="s">
        <v>35</v>
      </c>
      <c r="E7" s="9" t="s">
        <v>36</v>
      </c>
      <c r="F7" s="9" t="s">
        <v>37</v>
      </c>
      <c r="G7" s="9" t="s">
        <v>38</v>
      </c>
      <c r="H7" s="9" t="s">
        <v>17</v>
      </c>
      <c r="I7" s="11" t="s">
        <v>39</v>
      </c>
      <c r="J7" s="9" t="s">
        <v>40</v>
      </c>
    </row>
    <row r="8" spans="1:10" ht="28.8" x14ac:dyDescent="0.3">
      <c r="A8" s="9" t="s">
        <v>32</v>
      </c>
      <c r="B8" s="9" t="s">
        <v>41</v>
      </c>
      <c r="C8" s="9" t="s">
        <v>42</v>
      </c>
      <c r="D8" s="9" t="s">
        <v>43</v>
      </c>
      <c r="E8" s="9" t="s">
        <v>44</v>
      </c>
      <c r="F8" s="9" t="s">
        <v>45</v>
      </c>
      <c r="G8" s="9" t="s">
        <v>46</v>
      </c>
      <c r="H8" s="9" t="s">
        <v>47</v>
      </c>
      <c r="I8" s="11" t="s">
        <v>39</v>
      </c>
      <c r="J8" s="9" t="s">
        <v>48</v>
      </c>
    </row>
    <row r="9" spans="1:10" ht="28.8" x14ac:dyDescent="0.3">
      <c r="A9" s="9" t="s">
        <v>32</v>
      </c>
      <c r="B9" s="9" t="s">
        <v>41</v>
      </c>
      <c r="C9" s="9" t="s">
        <v>49</v>
      </c>
      <c r="D9" s="9" t="s">
        <v>50</v>
      </c>
      <c r="E9" s="9" t="s">
        <v>51</v>
      </c>
      <c r="F9" s="9" t="s">
        <v>52</v>
      </c>
      <c r="G9" s="9" t="s">
        <v>46</v>
      </c>
      <c r="H9" s="9" t="s">
        <v>17</v>
      </c>
      <c r="I9" s="11" t="s">
        <v>39</v>
      </c>
      <c r="J9" s="9" t="s">
        <v>19</v>
      </c>
    </row>
    <row r="10" spans="1:10" ht="28.8" x14ac:dyDescent="0.3">
      <c r="A10" s="9" t="s">
        <v>32</v>
      </c>
      <c r="B10" s="9" t="s">
        <v>41</v>
      </c>
      <c r="C10" s="9" t="s">
        <v>53</v>
      </c>
      <c r="D10" s="9" t="s">
        <v>54</v>
      </c>
      <c r="E10" s="9" t="s">
        <v>55</v>
      </c>
      <c r="F10" s="9" t="s">
        <v>56</v>
      </c>
      <c r="G10" s="9" t="s">
        <v>46</v>
      </c>
      <c r="H10" s="9" t="s">
        <v>17</v>
      </c>
      <c r="I10" s="11" t="s">
        <v>39</v>
      </c>
      <c r="J10" s="9" t="s">
        <v>19</v>
      </c>
    </row>
    <row r="11" spans="1:10" ht="28.8" x14ac:dyDescent="0.3">
      <c r="A11" s="9" t="s">
        <v>32</v>
      </c>
      <c r="B11" s="9" t="s">
        <v>57</v>
      </c>
      <c r="C11" s="9" t="s">
        <v>49</v>
      </c>
      <c r="D11" s="9" t="s">
        <v>58</v>
      </c>
      <c r="E11" s="9" t="s">
        <v>59</v>
      </c>
      <c r="F11" s="9" t="s">
        <v>60</v>
      </c>
      <c r="G11" s="9">
        <v>10</v>
      </c>
      <c r="H11" s="9" t="s">
        <v>17</v>
      </c>
      <c r="I11" s="11" t="s">
        <v>39</v>
      </c>
      <c r="J11" s="9" t="s">
        <v>61</v>
      </c>
    </row>
    <row r="12" spans="1:10" ht="43.2" x14ac:dyDescent="0.3">
      <c r="A12" s="9" t="s">
        <v>32</v>
      </c>
      <c r="B12" s="9" t="s">
        <v>57</v>
      </c>
      <c r="C12" s="9" t="s">
        <v>49</v>
      </c>
      <c r="D12" s="9" t="s">
        <v>62</v>
      </c>
      <c r="E12" s="9" t="s">
        <v>63</v>
      </c>
      <c r="F12" s="9" t="s">
        <v>64</v>
      </c>
      <c r="G12" s="9" t="s">
        <v>65</v>
      </c>
      <c r="H12" s="9" t="s">
        <v>47</v>
      </c>
      <c r="I12" s="11" t="s">
        <v>39</v>
      </c>
      <c r="J12" s="9" t="s">
        <v>61</v>
      </c>
    </row>
    <row r="13" spans="1:10" ht="28.8" x14ac:dyDescent="0.3">
      <c r="A13" s="9" t="s">
        <v>32</v>
      </c>
      <c r="B13" s="9" t="s">
        <v>33</v>
      </c>
      <c r="C13" s="9" t="s">
        <v>66</v>
      </c>
      <c r="D13" s="9" t="s">
        <v>67</v>
      </c>
      <c r="E13" s="9" t="s">
        <v>68</v>
      </c>
      <c r="F13" s="9" t="s">
        <v>69</v>
      </c>
      <c r="G13" s="9" t="s">
        <v>70</v>
      </c>
      <c r="H13" s="9" t="s">
        <v>17</v>
      </c>
      <c r="I13" s="11" t="s">
        <v>39</v>
      </c>
      <c r="J13" s="9" t="s">
        <v>71</v>
      </c>
    </row>
    <row r="14" spans="1:10" x14ac:dyDescent="0.3">
      <c r="A14" s="9" t="s">
        <v>32</v>
      </c>
      <c r="B14" s="9" t="s">
        <v>72</v>
      </c>
      <c r="C14" s="9" t="s">
        <v>49</v>
      </c>
      <c r="D14" s="9" t="s">
        <v>73</v>
      </c>
      <c r="E14" s="9" t="s">
        <v>74</v>
      </c>
      <c r="F14" s="9" t="s">
        <v>75</v>
      </c>
      <c r="G14" s="9">
        <v>7</v>
      </c>
      <c r="H14" s="9" t="s">
        <v>17</v>
      </c>
      <c r="I14" s="11" t="s">
        <v>39</v>
      </c>
      <c r="J14" s="9" t="s">
        <v>61</v>
      </c>
    </row>
    <row r="15" spans="1:10" x14ac:dyDescent="0.3">
      <c r="A15" s="9" t="s">
        <v>32</v>
      </c>
      <c r="B15" s="9" t="s">
        <v>41</v>
      </c>
      <c r="C15" s="9" t="s">
        <v>49</v>
      </c>
      <c r="D15" s="9" t="s">
        <v>76</v>
      </c>
      <c r="E15" s="9" t="s">
        <v>77</v>
      </c>
      <c r="F15" s="9" t="s">
        <v>78</v>
      </c>
      <c r="G15" s="9" t="s">
        <v>46</v>
      </c>
      <c r="H15" s="9" t="s">
        <v>17</v>
      </c>
      <c r="I15" s="11" t="s">
        <v>39</v>
      </c>
      <c r="J15" s="9" t="s">
        <v>19</v>
      </c>
    </row>
    <row r="16" spans="1:10" ht="28.8" x14ac:dyDescent="0.3">
      <c r="A16" s="9" t="s">
        <v>32</v>
      </c>
      <c r="B16" s="9" t="s">
        <v>41</v>
      </c>
      <c r="C16" s="9" t="s">
        <v>79</v>
      </c>
      <c r="D16" s="9" t="s">
        <v>80</v>
      </c>
      <c r="E16" s="9" t="s">
        <v>81</v>
      </c>
      <c r="F16" s="9" t="s">
        <v>82</v>
      </c>
      <c r="G16" s="9" t="s">
        <v>46</v>
      </c>
      <c r="H16" s="9" t="s">
        <v>83</v>
      </c>
      <c r="I16" s="11" t="s">
        <v>39</v>
      </c>
      <c r="J16" s="9" t="s">
        <v>19</v>
      </c>
    </row>
    <row r="17" spans="1:10" ht="28.8" x14ac:dyDescent="0.3">
      <c r="A17" s="9" t="s">
        <v>32</v>
      </c>
      <c r="B17" s="9" t="s">
        <v>41</v>
      </c>
      <c r="C17" s="9" t="s">
        <v>49</v>
      </c>
      <c r="D17" s="9" t="s">
        <v>84</v>
      </c>
      <c r="E17" s="9" t="s">
        <v>85</v>
      </c>
      <c r="F17" s="9" t="s">
        <v>86</v>
      </c>
      <c r="G17" s="9" t="s">
        <v>87</v>
      </c>
      <c r="H17" s="9" t="s">
        <v>17</v>
      </c>
      <c r="I17" s="11" t="s">
        <v>39</v>
      </c>
      <c r="J17" s="9" t="s">
        <v>19</v>
      </c>
    </row>
    <row r="18" spans="1:10" ht="28.8" x14ac:dyDescent="0.3">
      <c r="A18" s="9" t="s">
        <v>32</v>
      </c>
      <c r="B18" s="9" t="s">
        <v>41</v>
      </c>
      <c r="C18" s="9" t="s">
        <v>49</v>
      </c>
      <c r="D18" s="9" t="s">
        <v>88</v>
      </c>
      <c r="E18" s="9" t="s">
        <v>89</v>
      </c>
      <c r="F18" s="9" t="s">
        <v>90</v>
      </c>
      <c r="G18" s="9" t="s">
        <v>46</v>
      </c>
      <c r="H18" s="9" t="s">
        <v>47</v>
      </c>
      <c r="I18" s="11" t="s">
        <v>39</v>
      </c>
      <c r="J18" s="9" t="s">
        <v>19</v>
      </c>
    </row>
    <row r="19" spans="1:10" x14ac:dyDescent="0.3">
      <c r="A19" s="9" t="s">
        <v>32</v>
      </c>
      <c r="B19" s="9" t="s">
        <v>57</v>
      </c>
      <c r="C19" s="9" t="s">
        <v>91</v>
      </c>
      <c r="D19" s="9" t="s">
        <v>92</v>
      </c>
      <c r="E19" s="9" t="s">
        <v>93</v>
      </c>
      <c r="F19" s="9" t="s">
        <v>94</v>
      </c>
      <c r="G19" s="9">
        <v>2</v>
      </c>
      <c r="H19" s="9" t="s">
        <v>47</v>
      </c>
      <c r="I19" s="12" t="s">
        <v>95</v>
      </c>
      <c r="J19" s="9" t="s">
        <v>96</v>
      </c>
    </row>
    <row r="20" spans="1:10" x14ac:dyDescent="0.3">
      <c r="A20" s="9" t="s">
        <v>32</v>
      </c>
      <c r="B20" s="9" t="s">
        <v>57</v>
      </c>
      <c r="C20" s="9" t="s">
        <v>97</v>
      </c>
      <c r="D20" s="9" t="s">
        <v>92</v>
      </c>
      <c r="E20" s="9" t="s">
        <v>98</v>
      </c>
      <c r="F20" s="9" t="s">
        <v>99</v>
      </c>
      <c r="G20" s="9">
        <v>2</v>
      </c>
      <c r="H20" s="9" t="s">
        <v>47</v>
      </c>
      <c r="I20" s="12" t="s">
        <v>95</v>
      </c>
      <c r="J20" s="9" t="s">
        <v>100</v>
      </c>
    </row>
    <row r="21" spans="1:10" x14ac:dyDescent="0.3">
      <c r="A21" s="9" t="s">
        <v>32</v>
      </c>
      <c r="B21" s="9" t="s">
        <v>57</v>
      </c>
      <c r="C21" s="9" t="s">
        <v>91</v>
      </c>
      <c r="D21" s="9" t="s">
        <v>101</v>
      </c>
      <c r="E21" s="9" t="s">
        <v>102</v>
      </c>
      <c r="F21" s="9" t="s">
        <v>103</v>
      </c>
      <c r="G21" s="9">
        <v>11</v>
      </c>
      <c r="H21" s="9" t="s">
        <v>17</v>
      </c>
      <c r="I21" s="10" t="s">
        <v>18</v>
      </c>
      <c r="J21" s="9" t="s">
        <v>96</v>
      </c>
    </row>
    <row r="22" spans="1:10" x14ac:dyDescent="0.3">
      <c r="A22" s="9" t="s">
        <v>32</v>
      </c>
      <c r="B22" s="9" t="s">
        <v>72</v>
      </c>
      <c r="C22" s="9" t="s">
        <v>91</v>
      </c>
      <c r="D22" s="9" t="s">
        <v>104</v>
      </c>
      <c r="E22" s="9" t="s">
        <v>105</v>
      </c>
      <c r="F22" s="9" t="s">
        <v>106</v>
      </c>
      <c r="G22" s="9">
        <v>4</v>
      </c>
      <c r="H22" s="9" t="s">
        <v>17</v>
      </c>
      <c r="I22" s="10" t="s">
        <v>18</v>
      </c>
      <c r="J22" s="9" t="s">
        <v>96</v>
      </c>
    </row>
    <row r="23" spans="1:10" ht="28.8" x14ac:dyDescent="0.3">
      <c r="A23" s="9" t="s">
        <v>32</v>
      </c>
      <c r="B23" s="9" t="s">
        <v>72</v>
      </c>
      <c r="C23" s="9" t="s">
        <v>49</v>
      </c>
      <c r="D23" s="9" t="s">
        <v>107</v>
      </c>
      <c r="E23" s="9" t="s">
        <v>108</v>
      </c>
      <c r="F23" s="9" t="s">
        <v>109</v>
      </c>
      <c r="G23" s="9">
        <v>3</v>
      </c>
      <c r="H23" s="9" t="s">
        <v>17</v>
      </c>
      <c r="I23" s="10" t="s">
        <v>18</v>
      </c>
      <c r="J23" s="9" t="s">
        <v>61</v>
      </c>
    </row>
    <row r="24" spans="1:10" x14ac:dyDescent="0.3">
      <c r="A24" s="9" t="s">
        <v>32</v>
      </c>
      <c r="B24" s="9" t="s">
        <v>72</v>
      </c>
      <c r="C24" s="9" t="s">
        <v>49</v>
      </c>
      <c r="D24" s="9" t="s">
        <v>110</v>
      </c>
      <c r="E24" s="9" t="s">
        <v>111</v>
      </c>
      <c r="F24" s="9" t="s">
        <v>112</v>
      </c>
      <c r="G24" s="9">
        <v>8</v>
      </c>
      <c r="H24" s="9" t="s">
        <v>17</v>
      </c>
      <c r="I24" s="10" t="s">
        <v>18</v>
      </c>
      <c r="J24" s="9" t="s">
        <v>61</v>
      </c>
    </row>
    <row r="25" spans="1:10" x14ac:dyDescent="0.3">
      <c r="A25" s="9" t="s">
        <v>32</v>
      </c>
      <c r="B25" s="9" t="s">
        <v>72</v>
      </c>
      <c r="C25" s="9" t="s">
        <v>91</v>
      </c>
      <c r="D25" s="9" t="s">
        <v>113</v>
      </c>
      <c r="E25" s="9" t="s">
        <v>114</v>
      </c>
      <c r="F25" s="9" t="s">
        <v>103</v>
      </c>
      <c r="G25" s="9">
        <v>7</v>
      </c>
      <c r="H25" s="9" t="s">
        <v>17</v>
      </c>
      <c r="I25" s="10" t="s">
        <v>18</v>
      </c>
      <c r="J25" s="9" t="s">
        <v>96</v>
      </c>
    </row>
    <row r="26" spans="1:10" ht="28.8" x14ac:dyDescent="0.3">
      <c r="A26" s="9" t="s">
        <v>32</v>
      </c>
      <c r="B26" s="9" t="s">
        <v>41</v>
      </c>
      <c r="C26" s="9" t="s">
        <v>115</v>
      </c>
      <c r="D26" s="9" t="s">
        <v>116</v>
      </c>
      <c r="E26" s="9" t="s">
        <v>117</v>
      </c>
      <c r="F26" s="9" t="s">
        <v>118</v>
      </c>
      <c r="G26" s="9" t="s">
        <v>119</v>
      </c>
      <c r="H26" s="9" t="s">
        <v>17</v>
      </c>
      <c r="I26" s="10" t="s">
        <v>18</v>
      </c>
      <c r="J26" s="9" t="s">
        <v>120</v>
      </c>
    </row>
    <row r="27" spans="1:10" ht="28.8" x14ac:dyDescent="0.3">
      <c r="A27" s="9" t="s">
        <v>32</v>
      </c>
      <c r="B27" s="9" t="s">
        <v>72</v>
      </c>
      <c r="C27" s="9" t="s">
        <v>97</v>
      </c>
      <c r="D27" s="9" t="s">
        <v>121</v>
      </c>
      <c r="E27" s="9" t="s">
        <v>122</v>
      </c>
      <c r="F27" s="9" t="s">
        <v>123</v>
      </c>
      <c r="G27" s="9">
        <v>13</v>
      </c>
      <c r="H27" s="9" t="s">
        <v>17</v>
      </c>
      <c r="I27" s="10" t="s">
        <v>18</v>
      </c>
      <c r="J27" s="9" t="s">
        <v>100</v>
      </c>
    </row>
    <row r="28" spans="1:10" ht="28.8" x14ac:dyDescent="0.3">
      <c r="A28" s="9" t="s">
        <v>32</v>
      </c>
      <c r="B28" s="9" t="s">
        <v>41</v>
      </c>
      <c r="C28" s="9" t="s">
        <v>12</v>
      </c>
      <c r="D28" s="9" t="s">
        <v>124</v>
      </c>
      <c r="E28" s="9" t="s">
        <v>125</v>
      </c>
      <c r="F28" s="9" t="s">
        <v>126</v>
      </c>
      <c r="G28" s="9" t="s">
        <v>127</v>
      </c>
      <c r="H28" s="9" t="s">
        <v>17</v>
      </c>
      <c r="I28" s="10" t="s">
        <v>18</v>
      </c>
      <c r="J28" s="9" t="s">
        <v>19</v>
      </c>
    </row>
    <row r="29" spans="1:10" ht="43.2" x14ac:dyDescent="0.3">
      <c r="A29" s="9" t="s">
        <v>32</v>
      </c>
      <c r="B29" s="9" t="s">
        <v>41</v>
      </c>
      <c r="C29" s="9" t="s">
        <v>79</v>
      </c>
      <c r="D29" s="9" t="s">
        <v>128</v>
      </c>
      <c r="E29" s="9" t="s">
        <v>129</v>
      </c>
      <c r="F29" s="9" t="s">
        <v>130</v>
      </c>
      <c r="G29" s="9" t="s">
        <v>131</v>
      </c>
      <c r="H29" s="9" t="s">
        <v>17</v>
      </c>
      <c r="I29" s="10" t="s">
        <v>18</v>
      </c>
      <c r="J29" s="9" t="s">
        <v>19</v>
      </c>
    </row>
    <row r="30" spans="1:10" ht="28.8" x14ac:dyDescent="0.3">
      <c r="A30" s="9" t="s">
        <v>132</v>
      </c>
      <c r="B30" s="9" t="s">
        <v>11</v>
      </c>
      <c r="C30" s="9" t="s">
        <v>12</v>
      </c>
      <c r="D30" s="9" t="s">
        <v>133</v>
      </c>
      <c r="E30" s="9" t="s">
        <v>134</v>
      </c>
      <c r="F30" s="9" t="s">
        <v>135</v>
      </c>
      <c r="G30" s="9" t="s">
        <v>16</v>
      </c>
      <c r="H30" s="9" t="s">
        <v>47</v>
      </c>
      <c r="I30" s="11" t="s">
        <v>39</v>
      </c>
      <c r="J30" s="9" t="s">
        <v>136</v>
      </c>
    </row>
    <row r="31" spans="1:10" x14ac:dyDescent="0.3">
      <c r="A31" s="9" t="s">
        <v>132</v>
      </c>
      <c r="B31" s="9" t="s">
        <v>87</v>
      </c>
      <c r="C31" s="9" t="s">
        <v>49</v>
      </c>
      <c r="D31" s="9" t="s">
        <v>137</v>
      </c>
      <c r="E31" s="9" t="s">
        <v>138</v>
      </c>
      <c r="F31" s="9" t="s">
        <v>139</v>
      </c>
      <c r="G31" s="9">
        <v>2</v>
      </c>
      <c r="H31" s="9" t="s">
        <v>17</v>
      </c>
      <c r="I31" s="11" t="s">
        <v>39</v>
      </c>
      <c r="J31" s="9" t="s">
        <v>61</v>
      </c>
    </row>
    <row r="32" spans="1:10" x14ac:dyDescent="0.3">
      <c r="A32" s="9" t="s">
        <v>132</v>
      </c>
      <c r="B32" s="9" t="s">
        <v>33</v>
      </c>
      <c r="C32" s="9" t="s">
        <v>12</v>
      </c>
      <c r="D32" s="9" t="s">
        <v>140</v>
      </c>
      <c r="E32" s="9" t="s">
        <v>141</v>
      </c>
      <c r="F32" s="9" t="s">
        <v>142</v>
      </c>
      <c r="G32" s="9" t="s">
        <v>87</v>
      </c>
      <c r="H32" s="9" t="s">
        <v>17</v>
      </c>
      <c r="I32" s="11" t="s">
        <v>39</v>
      </c>
      <c r="J32" s="9" t="s">
        <v>19</v>
      </c>
    </row>
    <row r="33" spans="1:10" ht="28.8" x14ac:dyDescent="0.3">
      <c r="A33" s="9" t="s">
        <v>132</v>
      </c>
      <c r="B33" s="9" t="s">
        <v>33</v>
      </c>
      <c r="C33" s="9" t="s">
        <v>143</v>
      </c>
      <c r="D33" s="9" t="s">
        <v>144</v>
      </c>
      <c r="E33" s="9" t="s">
        <v>145</v>
      </c>
      <c r="F33" s="9" t="s">
        <v>146</v>
      </c>
      <c r="G33" s="9" t="s">
        <v>131</v>
      </c>
      <c r="H33" s="9" t="s">
        <v>47</v>
      </c>
      <c r="I33" s="11" t="s">
        <v>39</v>
      </c>
      <c r="J33" s="9" t="s">
        <v>19</v>
      </c>
    </row>
    <row r="34" spans="1:10" ht="28.8" x14ac:dyDescent="0.3">
      <c r="A34" s="9" t="s">
        <v>132</v>
      </c>
      <c r="B34" s="9" t="s">
        <v>33</v>
      </c>
      <c r="C34" s="9" t="s">
        <v>12</v>
      </c>
      <c r="D34" s="9" t="s">
        <v>147</v>
      </c>
      <c r="E34" s="9" t="s">
        <v>148</v>
      </c>
      <c r="F34" s="9" t="s">
        <v>149</v>
      </c>
      <c r="G34" s="9" t="s">
        <v>150</v>
      </c>
      <c r="H34" s="9" t="s">
        <v>17</v>
      </c>
      <c r="I34" s="11" t="s">
        <v>39</v>
      </c>
      <c r="J34" s="9" t="s">
        <v>151</v>
      </c>
    </row>
    <row r="35" spans="1:10" ht="28.8" x14ac:dyDescent="0.3">
      <c r="A35" s="9" t="s">
        <v>132</v>
      </c>
      <c r="B35" s="9" t="s">
        <v>152</v>
      </c>
      <c r="C35" s="9" t="s">
        <v>153</v>
      </c>
      <c r="D35" s="9" t="s">
        <v>154</v>
      </c>
      <c r="E35" s="9" t="s">
        <v>155</v>
      </c>
      <c r="F35" s="9" t="s">
        <v>156</v>
      </c>
      <c r="G35" s="9" t="s">
        <v>157</v>
      </c>
      <c r="H35" s="9" t="s">
        <v>17</v>
      </c>
      <c r="I35" s="11" t="s">
        <v>39</v>
      </c>
      <c r="J35" s="9" t="s">
        <v>158</v>
      </c>
    </row>
    <row r="36" spans="1:10" x14ac:dyDescent="0.3">
      <c r="A36" s="9" t="s">
        <v>132</v>
      </c>
      <c r="B36" s="9" t="s">
        <v>87</v>
      </c>
      <c r="C36" s="9" t="s">
        <v>91</v>
      </c>
      <c r="D36" s="9" t="s">
        <v>159</v>
      </c>
      <c r="E36" s="9" t="s">
        <v>160</v>
      </c>
      <c r="F36" s="9" t="s">
        <v>161</v>
      </c>
      <c r="G36" s="9">
        <v>1</v>
      </c>
      <c r="H36" s="9" t="s">
        <v>17</v>
      </c>
      <c r="I36" s="13" t="s">
        <v>162</v>
      </c>
      <c r="J36" s="9" t="s">
        <v>96</v>
      </c>
    </row>
    <row r="37" spans="1:10" x14ac:dyDescent="0.3">
      <c r="A37" s="9" t="s">
        <v>132</v>
      </c>
      <c r="B37" s="9" t="s">
        <v>87</v>
      </c>
      <c r="C37" s="9" t="s">
        <v>91</v>
      </c>
      <c r="D37" s="9" t="s">
        <v>163</v>
      </c>
      <c r="E37" s="9" t="s">
        <v>164</v>
      </c>
      <c r="F37" s="9" t="s">
        <v>103</v>
      </c>
      <c r="G37" s="9">
        <v>3</v>
      </c>
      <c r="H37" s="9" t="s">
        <v>17</v>
      </c>
      <c r="I37" s="10" t="s">
        <v>18</v>
      </c>
      <c r="J37" s="9" t="s">
        <v>96</v>
      </c>
    </row>
    <row r="38" spans="1:10" ht="28.8" x14ac:dyDescent="0.3">
      <c r="A38" s="9" t="s">
        <v>132</v>
      </c>
      <c r="B38" s="9" t="s">
        <v>87</v>
      </c>
      <c r="C38" s="9" t="s">
        <v>97</v>
      </c>
      <c r="D38" s="9" t="s">
        <v>165</v>
      </c>
      <c r="E38" s="9" t="s">
        <v>166</v>
      </c>
      <c r="F38" s="9" t="s">
        <v>167</v>
      </c>
      <c r="G38" s="9">
        <v>6</v>
      </c>
      <c r="H38" s="9" t="s">
        <v>17</v>
      </c>
      <c r="I38" s="10" t="s">
        <v>18</v>
      </c>
      <c r="J38" s="9" t="s">
        <v>100</v>
      </c>
    </row>
    <row r="39" spans="1:10" ht="28.8" x14ac:dyDescent="0.3">
      <c r="A39" s="9" t="s">
        <v>132</v>
      </c>
      <c r="B39" s="9" t="s">
        <v>33</v>
      </c>
      <c r="C39" s="9" t="s">
        <v>168</v>
      </c>
      <c r="D39" s="9" t="s">
        <v>169</v>
      </c>
      <c r="E39" s="9" t="s">
        <v>170</v>
      </c>
      <c r="F39" s="9" t="s">
        <v>130</v>
      </c>
      <c r="G39" s="9" t="s">
        <v>131</v>
      </c>
      <c r="H39" s="9" t="s">
        <v>17</v>
      </c>
      <c r="I39" s="10" t="s">
        <v>18</v>
      </c>
      <c r="J39" s="9" t="s">
        <v>19</v>
      </c>
    </row>
    <row r="40" spans="1:10" ht="43.2" x14ac:dyDescent="0.3">
      <c r="A40" s="9" t="s">
        <v>132</v>
      </c>
      <c r="B40" s="9" t="s">
        <v>33</v>
      </c>
      <c r="C40" s="9" t="s">
        <v>171</v>
      </c>
      <c r="D40" s="9" t="s">
        <v>172</v>
      </c>
      <c r="E40" s="9" t="s">
        <v>173</v>
      </c>
      <c r="F40" s="9" t="s">
        <v>174</v>
      </c>
      <c r="G40" s="9" t="s">
        <v>131</v>
      </c>
      <c r="H40" s="9" t="s">
        <v>17</v>
      </c>
      <c r="I40" s="10" t="s">
        <v>18</v>
      </c>
      <c r="J40" s="9" t="s">
        <v>19</v>
      </c>
    </row>
    <row r="41" spans="1:10" ht="28.8" x14ac:dyDescent="0.3">
      <c r="A41" s="9" t="s">
        <v>132</v>
      </c>
      <c r="B41" s="9" t="s">
        <v>33</v>
      </c>
      <c r="C41" s="9" t="s">
        <v>175</v>
      </c>
      <c r="D41" s="9" t="s">
        <v>176</v>
      </c>
      <c r="E41" s="9" t="s">
        <v>177</v>
      </c>
      <c r="F41" s="9" t="s">
        <v>130</v>
      </c>
      <c r="G41" s="9" t="s">
        <v>131</v>
      </c>
      <c r="H41" s="9" t="s">
        <v>17</v>
      </c>
      <c r="I41" s="10" t="s">
        <v>18</v>
      </c>
      <c r="J41" s="9" t="s">
        <v>19</v>
      </c>
    </row>
    <row r="42" spans="1:10" ht="28.8" x14ac:dyDescent="0.3">
      <c r="A42" s="9" t="s">
        <v>132</v>
      </c>
      <c r="B42" s="9" t="s">
        <v>33</v>
      </c>
      <c r="C42" s="9" t="s">
        <v>178</v>
      </c>
      <c r="D42" s="9" t="s">
        <v>179</v>
      </c>
      <c r="E42" s="9" t="s">
        <v>180</v>
      </c>
      <c r="F42" s="9" t="s">
        <v>130</v>
      </c>
      <c r="G42" s="9" t="s">
        <v>131</v>
      </c>
      <c r="H42" s="9" t="s">
        <v>17</v>
      </c>
      <c r="I42" s="10" t="s">
        <v>18</v>
      </c>
      <c r="J42" s="9" t="s">
        <v>19</v>
      </c>
    </row>
    <row r="43" spans="1:10" x14ac:dyDescent="0.3">
      <c r="A43" s="9" t="s">
        <v>132</v>
      </c>
      <c r="B43" s="9" t="s">
        <v>33</v>
      </c>
      <c r="C43" s="9" t="s">
        <v>181</v>
      </c>
      <c r="D43" s="9" t="s">
        <v>182</v>
      </c>
      <c r="E43" s="9" t="s">
        <v>183</v>
      </c>
      <c r="F43" s="9" t="s">
        <v>130</v>
      </c>
      <c r="G43" s="9" t="s">
        <v>131</v>
      </c>
      <c r="H43" s="9" t="s">
        <v>17</v>
      </c>
      <c r="I43" s="10" t="s">
        <v>18</v>
      </c>
      <c r="J43" s="9" t="s">
        <v>19</v>
      </c>
    </row>
    <row r="44" spans="1:10" ht="28.8" x14ac:dyDescent="0.3">
      <c r="A44" s="9" t="s">
        <v>184</v>
      </c>
      <c r="B44" s="9" t="s">
        <v>11</v>
      </c>
      <c r="C44" s="9" t="s">
        <v>12</v>
      </c>
      <c r="D44" s="9" t="s">
        <v>185</v>
      </c>
      <c r="E44" s="9" t="s">
        <v>186</v>
      </c>
      <c r="F44" s="9" t="s">
        <v>187</v>
      </c>
      <c r="G44" s="9" t="s">
        <v>16</v>
      </c>
      <c r="H44" s="9" t="s">
        <v>17</v>
      </c>
      <c r="I44" s="11" t="s">
        <v>39</v>
      </c>
      <c r="J44" s="9" t="s">
        <v>136</v>
      </c>
    </row>
    <row r="45" spans="1:10" x14ac:dyDescent="0.3">
      <c r="A45" s="9" t="s">
        <v>184</v>
      </c>
      <c r="B45" s="9" t="s">
        <v>72</v>
      </c>
      <c r="C45" s="9" t="s">
        <v>97</v>
      </c>
      <c r="D45" s="9" t="s">
        <v>188</v>
      </c>
      <c r="E45" s="9" t="s">
        <v>189</v>
      </c>
      <c r="F45" s="9" t="s">
        <v>190</v>
      </c>
      <c r="G45" s="9">
        <v>1</v>
      </c>
      <c r="H45" s="9" t="s">
        <v>17</v>
      </c>
      <c r="I45" s="11" t="s">
        <v>39</v>
      </c>
      <c r="J45" s="9" t="s">
        <v>100</v>
      </c>
    </row>
    <row r="46" spans="1:10" x14ac:dyDescent="0.3">
      <c r="A46" s="9" t="s">
        <v>184</v>
      </c>
      <c r="B46" s="9" t="s">
        <v>152</v>
      </c>
      <c r="C46" s="9" t="s">
        <v>12</v>
      </c>
      <c r="D46" s="9" t="s">
        <v>191</v>
      </c>
      <c r="E46" s="9" t="s">
        <v>192</v>
      </c>
      <c r="F46" s="9" t="s">
        <v>193</v>
      </c>
      <c r="G46" s="9" t="s">
        <v>152</v>
      </c>
      <c r="H46" s="9" t="s">
        <v>17</v>
      </c>
      <c r="I46" s="11" t="s">
        <v>39</v>
      </c>
      <c r="J46" s="9" t="s">
        <v>19</v>
      </c>
    </row>
    <row r="47" spans="1:10" x14ac:dyDescent="0.3">
      <c r="A47" s="9" t="s">
        <v>184</v>
      </c>
      <c r="B47" s="9" t="s">
        <v>33</v>
      </c>
      <c r="C47" s="9" t="s">
        <v>12</v>
      </c>
      <c r="D47" s="9" t="s">
        <v>194</v>
      </c>
      <c r="E47" s="9" t="s">
        <v>195</v>
      </c>
      <c r="F47" s="9" t="s">
        <v>196</v>
      </c>
      <c r="G47" s="9" t="s">
        <v>197</v>
      </c>
      <c r="H47" s="9" t="s">
        <v>17</v>
      </c>
      <c r="I47" s="11" t="s">
        <v>39</v>
      </c>
      <c r="J47" s="9" t="s">
        <v>19</v>
      </c>
    </row>
    <row r="48" spans="1:10" x14ac:dyDescent="0.3">
      <c r="A48" s="9" t="s">
        <v>184</v>
      </c>
      <c r="B48" s="9" t="s">
        <v>198</v>
      </c>
      <c r="C48" s="9" t="s">
        <v>12</v>
      </c>
      <c r="D48" s="9" t="s">
        <v>199</v>
      </c>
      <c r="E48" s="9" t="s">
        <v>200</v>
      </c>
      <c r="F48" s="9" t="s">
        <v>201</v>
      </c>
      <c r="G48" s="9" t="s">
        <v>127</v>
      </c>
      <c r="H48" s="9" t="s">
        <v>17</v>
      </c>
      <c r="I48" s="11" t="s">
        <v>39</v>
      </c>
      <c r="J48" s="9" t="s">
        <v>19</v>
      </c>
    </row>
    <row r="49" spans="1:10" x14ac:dyDescent="0.3">
      <c r="A49" s="9" t="s">
        <v>184</v>
      </c>
      <c r="B49" s="9" t="s">
        <v>72</v>
      </c>
      <c r="C49" s="9" t="s">
        <v>91</v>
      </c>
      <c r="D49" s="9" t="s">
        <v>202</v>
      </c>
      <c r="E49" s="9" t="s">
        <v>203</v>
      </c>
      <c r="F49" s="9" t="s">
        <v>103</v>
      </c>
      <c r="G49" s="9">
        <v>1</v>
      </c>
      <c r="H49" s="9" t="s">
        <v>17</v>
      </c>
      <c r="I49" s="13" t="s">
        <v>162</v>
      </c>
      <c r="J49" s="9" t="s">
        <v>96</v>
      </c>
    </row>
  </sheetData>
  <autoFilter ref="A1:J49" xr:uid="{A5F5EDEB-9EE9-4E70-9FF7-DF742F088782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3D1E9-54C9-42A0-9AA5-0C3D505A53E4}">
  <dimension ref="A1:F18"/>
  <sheetViews>
    <sheetView workbookViewId="0"/>
  </sheetViews>
  <sheetFormatPr defaultRowHeight="14.4" x14ac:dyDescent="0.3"/>
  <cols>
    <col min="1" max="1" width="14.77734375" customWidth="1"/>
    <col min="2" max="2" width="26.77734375" customWidth="1"/>
    <col min="3" max="3" width="9.77734375" customWidth="1"/>
    <col min="4" max="5" width="22.77734375" customWidth="1"/>
    <col min="6" max="6" width="16.77734375" customWidth="1"/>
  </cols>
  <sheetData>
    <row r="1" spans="1:6" x14ac:dyDescent="0.3">
      <c r="A1" s="2" t="s">
        <v>204</v>
      </c>
      <c r="B1" s="2" t="s">
        <v>3</v>
      </c>
      <c r="C1" s="16" t="s">
        <v>205</v>
      </c>
      <c r="D1" s="16" t="s">
        <v>206</v>
      </c>
      <c r="E1" s="16" t="s">
        <v>207</v>
      </c>
      <c r="F1" s="16" t="s">
        <v>208</v>
      </c>
    </row>
    <row r="2" spans="1:6" x14ac:dyDescent="0.3">
      <c r="A2" t="s">
        <v>209</v>
      </c>
      <c r="B2" t="s">
        <v>210</v>
      </c>
      <c r="C2" s="17">
        <v>10</v>
      </c>
      <c r="D2" s="18">
        <v>7</v>
      </c>
      <c r="E2" s="18">
        <v>7</v>
      </c>
      <c r="F2" s="19">
        <v>2</v>
      </c>
    </row>
    <row r="3" spans="1:6" x14ac:dyDescent="0.3">
      <c r="A3" t="s">
        <v>209</v>
      </c>
      <c r="B3" t="s">
        <v>211</v>
      </c>
      <c r="C3" s="17">
        <v>10</v>
      </c>
      <c r="D3" s="18">
        <v>6</v>
      </c>
      <c r="E3" s="19">
        <v>0</v>
      </c>
      <c r="F3" s="18">
        <v>7</v>
      </c>
    </row>
    <row r="4" spans="1:6" x14ac:dyDescent="0.3">
      <c r="A4" t="s">
        <v>209</v>
      </c>
      <c r="B4" t="s">
        <v>212</v>
      </c>
      <c r="C4" s="17">
        <v>10</v>
      </c>
      <c r="D4" s="19">
        <v>1</v>
      </c>
      <c r="E4" s="20">
        <v>9</v>
      </c>
      <c r="F4" s="19">
        <v>3</v>
      </c>
    </row>
    <row r="5" spans="1:6" x14ac:dyDescent="0.3">
      <c r="A5" t="s">
        <v>209</v>
      </c>
      <c r="B5" t="s">
        <v>213</v>
      </c>
      <c r="C5" s="17">
        <v>10</v>
      </c>
      <c r="D5" s="18">
        <v>6</v>
      </c>
      <c r="E5" s="19">
        <v>2</v>
      </c>
      <c r="F5" s="18">
        <v>7</v>
      </c>
    </row>
    <row r="6" spans="1:6" x14ac:dyDescent="0.3">
      <c r="A6" t="s">
        <v>152</v>
      </c>
      <c r="B6" t="s">
        <v>214</v>
      </c>
      <c r="C6" s="17">
        <v>8</v>
      </c>
      <c r="D6" s="19">
        <v>0</v>
      </c>
      <c r="E6" s="19">
        <v>0</v>
      </c>
      <c r="F6" s="19">
        <v>0</v>
      </c>
    </row>
    <row r="7" spans="1:6" x14ac:dyDescent="0.3">
      <c r="A7" t="s">
        <v>152</v>
      </c>
      <c r="B7" t="s">
        <v>215</v>
      </c>
      <c r="C7" s="17">
        <v>5</v>
      </c>
      <c r="D7" s="19">
        <v>0</v>
      </c>
      <c r="E7" s="19">
        <v>0</v>
      </c>
      <c r="F7" s="19">
        <v>0</v>
      </c>
    </row>
    <row r="8" spans="1:6" x14ac:dyDescent="0.3">
      <c r="A8" t="s">
        <v>152</v>
      </c>
      <c r="B8" t="s">
        <v>216</v>
      </c>
      <c r="C8" s="17">
        <v>4</v>
      </c>
      <c r="D8" s="19">
        <v>0</v>
      </c>
      <c r="E8" s="19">
        <v>0</v>
      </c>
      <c r="F8" s="19">
        <v>0</v>
      </c>
    </row>
    <row r="9" spans="1:6" x14ac:dyDescent="0.3">
      <c r="A9" t="s">
        <v>152</v>
      </c>
      <c r="B9" t="s">
        <v>217</v>
      </c>
      <c r="C9" s="17">
        <v>3</v>
      </c>
      <c r="D9" s="19">
        <v>0</v>
      </c>
      <c r="E9" s="19">
        <v>0</v>
      </c>
      <c r="F9" s="19">
        <v>0</v>
      </c>
    </row>
    <row r="10" spans="1:6" x14ac:dyDescent="0.3">
      <c r="A10" t="s">
        <v>57</v>
      </c>
      <c r="B10" t="s">
        <v>218</v>
      </c>
      <c r="C10" s="17">
        <v>10</v>
      </c>
      <c r="D10" s="18">
        <v>6</v>
      </c>
      <c r="E10" s="20">
        <v>10</v>
      </c>
      <c r="F10" s="19">
        <v>0</v>
      </c>
    </row>
    <row r="11" spans="1:6" x14ac:dyDescent="0.3">
      <c r="A11" t="s">
        <v>57</v>
      </c>
      <c r="B11" t="s">
        <v>219</v>
      </c>
      <c r="C11" s="17">
        <v>8</v>
      </c>
      <c r="D11" s="19">
        <v>0</v>
      </c>
      <c r="E11" s="19">
        <v>0</v>
      </c>
      <c r="F11" s="19">
        <v>0</v>
      </c>
    </row>
    <row r="12" spans="1:6" x14ac:dyDescent="0.3">
      <c r="A12" t="s">
        <v>57</v>
      </c>
      <c r="B12" t="s">
        <v>220</v>
      </c>
      <c r="C12" s="17">
        <v>7</v>
      </c>
      <c r="D12" s="19">
        <v>0</v>
      </c>
      <c r="E12" s="20">
        <v>7</v>
      </c>
      <c r="F12" s="19">
        <v>0</v>
      </c>
    </row>
    <row r="13" spans="1:6" x14ac:dyDescent="0.3">
      <c r="A13" t="s">
        <v>87</v>
      </c>
      <c r="B13" t="s">
        <v>221</v>
      </c>
      <c r="C13" s="17">
        <v>6</v>
      </c>
      <c r="D13" s="19">
        <v>2</v>
      </c>
      <c r="E13" s="19">
        <v>0</v>
      </c>
      <c r="F13" s="18">
        <v>3</v>
      </c>
    </row>
    <row r="14" spans="1:6" x14ac:dyDescent="0.3">
      <c r="A14" t="s">
        <v>87</v>
      </c>
      <c r="B14" t="s">
        <v>222</v>
      </c>
      <c r="C14" s="17">
        <v>5</v>
      </c>
      <c r="D14" s="19">
        <v>0</v>
      </c>
      <c r="E14" s="19">
        <v>0</v>
      </c>
      <c r="F14" s="19">
        <v>2</v>
      </c>
    </row>
    <row r="15" spans="1:6" x14ac:dyDescent="0.3">
      <c r="A15" t="s">
        <v>87</v>
      </c>
      <c r="B15" t="s">
        <v>223</v>
      </c>
      <c r="C15" s="17">
        <v>4</v>
      </c>
      <c r="D15" s="18">
        <v>2</v>
      </c>
      <c r="E15" s="18">
        <v>3</v>
      </c>
      <c r="F15" s="18">
        <v>2</v>
      </c>
    </row>
    <row r="16" spans="1:6" x14ac:dyDescent="0.3">
      <c r="A16" s="14" t="s">
        <v>224</v>
      </c>
      <c r="B16" s="14"/>
      <c r="C16" s="21">
        <f>SUM(C2:C15)</f>
        <v>100</v>
      </c>
      <c r="D16" s="21">
        <f>SUM(D2:D15)</f>
        <v>30</v>
      </c>
      <c r="E16" s="21">
        <f>SUM(E2:E15)</f>
        <v>38</v>
      </c>
      <c r="F16" s="21">
        <f>SUM(F2:F15)</f>
        <v>26</v>
      </c>
    </row>
    <row r="18" spans="1:6" ht="45" customHeight="1" x14ac:dyDescent="0.3">
      <c r="A18" s="15" t="s">
        <v>225</v>
      </c>
      <c r="B18" s="15"/>
      <c r="C18" s="15"/>
      <c r="D18" s="15"/>
      <c r="E18" s="15"/>
      <c r="F18" s="15"/>
    </row>
  </sheetData>
  <mergeCells count="1">
    <mergeCell ref="A18:F1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BB39E-9C16-4A02-8B6F-3E582936CF0C}">
  <dimension ref="A1:K92"/>
  <sheetViews>
    <sheetView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12.77734375" customWidth="1"/>
    <col min="2" max="2" width="55.77734375" customWidth="1"/>
    <col min="3" max="3" width="8.77734375" customWidth="1"/>
    <col min="4" max="5" width="10.77734375" customWidth="1"/>
    <col min="6" max="6" width="12.77734375" customWidth="1"/>
    <col min="7" max="7" width="14.77734375" customWidth="1"/>
    <col min="8" max="8" width="50.77734375" customWidth="1"/>
    <col min="9" max="9" width="60.77734375" customWidth="1"/>
    <col min="10" max="10" width="40.77734375" customWidth="1"/>
    <col min="11" max="11" width="20.77734375" customWidth="1"/>
  </cols>
  <sheetData>
    <row r="1" spans="1:11" ht="57.6" x14ac:dyDescent="0.3">
      <c r="A1" s="2" t="s">
        <v>226</v>
      </c>
      <c r="B1" s="2" t="s">
        <v>227</v>
      </c>
      <c r="C1" s="2" t="s">
        <v>228</v>
      </c>
      <c r="D1" s="2" t="s">
        <v>229</v>
      </c>
      <c r="E1" s="2" t="s">
        <v>230</v>
      </c>
      <c r="F1" s="2" t="s">
        <v>231</v>
      </c>
      <c r="G1" s="2" t="s">
        <v>232</v>
      </c>
      <c r="H1" s="2" t="s">
        <v>110</v>
      </c>
      <c r="I1" s="2" t="s">
        <v>107</v>
      </c>
      <c r="J1" s="2" t="s">
        <v>233</v>
      </c>
      <c r="K1" s="2" t="s">
        <v>234</v>
      </c>
    </row>
    <row r="2" spans="1:11" x14ac:dyDescent="0.3">
      <c r="A2" t="s">
        <v>235</v>
      </c>
      <c r="B2" t="s">
        <v>236</v>
      </c>
      <c r="C2" s="4">
        <v>0</v>
      </c>
      <c r="D2">
        <v>0</v>
      </c>
      <c r="E2">
        <v>16</v>
      </c>
      <c r="F2">
        <v>47</v>
      </c>
      <c r="G2">
        <v>44</v>
      </c>
      <c r="H2" t="s">
        <v>237</v>
      </c>
      <c r="I2" t="s">
        <v>238</v>
      </c>
      <c r="J2" t="s">
        <v>239</v>
      </c>
      <c r="K2" s="4" t="s">
        <v>240</v>
      </c>
    </row>
    <row r="3" spans="1:11" x14ac:dyDescent="0.3">
      <c r="A3" t="s">
        <v>235</v>
      </c>
      <c r="B3" t="s">
        <v>241</v>
      </c>
      <c r="C3">
        <v>1</v>
      </c>
      <c r="D3">
        <v>0</v>
      </c>
      <c r="E3">
        <v>60</v>
      </c>
      <c r="F3">
        <v>157</v>
      </c>
      <c r="G3">
        <v>156</v>
      </c>
      <c r="H3" t="s">
        <v>242</v>
      </c>
      <c r="I3" t="s">
        <v>243</v>
      </c>
      <c r="K3" s="3" t="s">
        <v>244</v>
      </c>
    </row>
    <row r="4" spans="1:11" x14ac:dyDescent="0.3">
      <c r="A4" t="s">
        <v>235</v>
      </c>
      <c r="B4" t="s">
        <v>245</v>
      </c>
      <c r="C4" s="4">
        <v>0</v>
      </c>
      <c r="D4">
        <v>0</v>
      </c>
      <c r="E4">
        <v>74</v>
      </c>
      <c r="F4">
        <v>189</v>
      </c>
      <c r="G4">
        <v>188</v>
      </c>
      <c r="H4" t="s">
        <v>246</v>
      </c>
      <c r="I4" t="s">
        <v>247</v>
      </c>
      <c r="J4" t="s">
        <v>248</v>
      </c>
      <c r="K4" s="4" t="s">
        <v>240</v>
      </c>
    </row>
    <row r="5" spans="1:11" x14ac:dyDescent="0.3">
      <c r="A5" t="s">
        <v>235</v>
      </c>
      <c r="B5" t="s">
        <v>249</v>
      </c>
      <c r="C5" s="4">
        <v>0</v>
      </c>
      <c r="D5">
        <v>0</v>
      </c>
      <c r="E5">
        <v>21</v>
      </c>
      <c r="F5">
        <v>164</v>
      </c>
      <c r="G5">
        <v>158</v>
      </c>
      <c r="H5" t="s">
        <v>250</v>
      </c>
      <c r="I5" t="s">
        <v>251</v>
      </c>
      <c r="J5" t="s">
        <v>239</v>
      </c>
      <c r="K5" s="4" t="s">
        <v>240</v>
      </c>
    </row>
    <row r="6" spans="1:11" x14ac:dyDescent="0.3">
      <c r="A6" t="s">
        <v>235</v>
      </c>
      <c r="B6" t="s">
        <v>252</v>
      </c>
      <c r="C6" s="4">
        <v>0</v>
      </c>
      <c r="D6">
        <v>0</v>
      </c>
      <c r="E6">
        <v>56</v>
      </c>
      <c r="F6">
        <v>158</v>
      </c>
      <c r="G6">
        <v>156</v>
      </c>
      <c r="H6" t="s">
        <v>253</v>
      </c>
      <c r="I6" t="s">
        <v>254</v>
      </c>
      <c r="J6" t="s">
        <v>255</v>
      </c>
      <c r="K6" s="4" t="s">
        <v>240</v>
      </c>
    </row>
    <row r="7" spans="1:11" x14ac:dyDescent="0.3">
      <c r="A7" t="s">
        <v>235</v>
      </c>
      <c r="B7" t="s">
        <v>256</v>
      </c>
      <c r="C7" s="4">
        <v>0</v>
      </c>
      <c r="D7">
        <v>0</v>
      </c>
      <c r="E7">
        <v>30</v>
      </c>
      <c r="F7">
        <v>101</v>
      </c>
      <c r="G7">
        <v>98</v>
      </c>
      <c r="H7" t="s">
        <v>257</v>
      </c>
      <c r="I7" t="s">
        <v>258</v>
      </c>
      <c r="J7" t="s">
        <v>259</v>
      </c>
      <c r="K7" s="4" t="s">
        <v>240</v>
      </c>
    </row>
    <row r="8" spans="1:11" x14ac:dyDescent="0.3">
      <c r="A8" t="s">
        <v>235</v>
      </c>
      <c r="B8" t="s">
        <v>260</v>
      </c>
      <c r="C8" s="4">
        <v>0</v>
      </c>
      <c r="D8">
        <v>0</v>
      </c>
      <c r="E8">
        <v>19</v>
      </c>
      <c r="F8">
        <v>7</v>
      </c>
      <c r="G8">
        <v>7</v>
      </c>
      <c r="H8" t="s">
        <v>261</v>
      </c>
      <c r="I8" t="s">
        <v>262</v>
      </c>
      <c r="J8" t="s">
        <v>239</v>
      </c>
      <c r="K8" s="4" t="s">
        <v>240</v>
      </c>
    </row>
    <row r="9" spans="1:11" x14ac:dyDescent="0.3">
      <c r="A9" t="s">
        <v>235</v>
      </c>
      <c r="B9" t="s">
        <v>263</v>
      </c>
      <c r="C9" s="4">
        <v>0</v>
      </c>
      <c r="D9">
        <v>0</v>
      </c>
      <c r="E9">
        <v>26</v>
      </c>
      <c r="F9">
        <v>158</v>
      </c>
      <c r="G9">
        <v>155</v>
      </c>
      <c r="H9" t="s">
        <v>264</v>
      </c>
      <c r="I9" t="s">
        <v>265</v>
      </c>
      <c r="J9" t="s">
        <v>266</v>
      </c>
      <c r="K9" s="4" t="s">
        <v>240</v>
      </c>
    </row>
    <row r="10" spans="1:11" x14ac:dyDescent="0.3">
      <c r="A10" t="s">
        <v>235</v>
      </c>
      <c r="B10" t="s">
        <v>267</v>
      </c>
      <c r="C10" s="4">
        <v>0</v>
      </c>
      <c r="D10">
        <v>0</v>
      </c>
      <c r="E10">
        <v>38</v>
      </c>
      <c r="F10">
        <v>152</v>
      </c>
      <c r="G10">
        <v>147</v>
      </c>
      <c r="H10" t="s">
        <v>268</v>
      </c>
      <c r="I10" t="s">
        <v>269</v>
      </c>
      <c r="J10" t="s">
        <v>255</v>
      </c>
      <c r="K10" s="4" t="s">
        <v>240</v>
      </c>
    </row>
    <row r="11" spans="1:11" x14ac:dyDescent="0.3">
      <c r="A11" t="s">
        <v>235</v>
      </c>
      <c r="B11" t="s">
        <v>270</v>
      </c>
      <c r="C11" s="4">
        <v>0</v>
      </c>
      <c r="D11">
        <v>0</v>
      </c>
      <c r="E11">
        <v>36</v>
      </c>
      <c r="F11">
        <v>167</v>
      </c>
      <c r="G11">
        <v>155</v>
      </c>
      <c r="H11" t="s">
        <v>271</v>
      </c>
      <c r="I11" t="s">
        <v>272</v>
      </c>
      <c r="J11" t="s">
        <v>259</v>
      </c>
      <c r="K11" s="4" t="s">
        <v>240</v>
      </c>
    </row>
    <row r="12" spans="1:11" x14ac:dyDescent="0.3">
      <c r="A12" t="s">
        <v>235</v>
      </c>
      <c r="B12" t="s">
        <v>273</v>
      </c>
      <c r="C12" s="4">
        <v>0</v>
      </c>
      <c r="D12">
        <v>0</v>
      </c>
      <c r="E12">
        <v>35</v>
      </c>
      <c r="F12">
        <v>164</v>
      </c>
      <c r="G12">
        <v>158</v>
      </c>
      <c r="H12" t="s">
        <v>274</v>
      </c>
      <c r="I12" t="s">
        <v>251</v>
      </c>
      <c r="J12" t="s">
        <v>259</v>
      </c>
      <c r="K12" s="4" t="s">
        <v>240</v>
      </c>
    </row>
    <row r="13" spans="1:11" x14ac:dyDescent="0.3">
      <c r="A13" t="s">
        <v>235</v>
      </c>
      <c r="B13" t="s">
        <v>275</v>
      </c>
      <c r="C13" s="4">
        <v>0</v>
      </c>
      <c r="D13">
        <v>0</v>
      </c>
      <c r="E13">
        <v>22</v>
      </c>
      <c r="F13">
        <v>10</v>
      </c>
      <c r="G13">
        <v>9</v>
      </c>
      <c r="H13" t="s">
        <v>276</v>
      </c>
      <c r="I13" t="s">
        <v>277</v>
      </c>
      <c r="J13" t="s">
        <v>239</v>
      </c>
      <c r="K13" s="4" t="s">
        <v>240</v>
      </c>
    </row>
    <row r="14" spans="1:11" x14ac:dyDescent="0.3">
      <c r="A14" t="s">
        <v>235</v>
      </c>
      <c r="B14" t="s">
        <v>278</v>
      </c>
      <c r="C14" s="4">
        <v>0</v>
      </c>
      <c r="D14">
        <v>0</v>
      </c>
      <c r="E14">
        <v>28</v>
      </c>
      <c r="F14">
        <v>159</v>
      </c>
      <c r="G14">
        <v>154</v>
      </c>
      <c r="H14" t="s">
        <v>279</v>
      </c>
      <c r="I14" t="s">
        <v>280</v>
      </c>
      <c r="J14" t="s">
        <v>266</v>
      </c>
      <c r="K14" s="4" t="s">
        <v>240</v>
      </c>
    </row>
    <row r="15" spans="1:11" x14ac:dyDescent="0.3">
      <c r="A15" t="s">
        <v>235</v>
      </c>
      <c r="B15" t="s">
        <v>281</v>
      </c>
      <c r="C15" s="4">
        <v>0</v>
      </c>
      <c r="D15">
        <v>0</v>
      </c>
      <c r="E15">
        <v>26</v>
      </c>
      <c r="F15">
        <v>158</v>
      </c>
      <c r="G15">
        <v>154</v>
      </c>
      <c r="H15" t="s">
        <v>282</v>
      </c>
      <c r="I15" t="s">
        <v>283</v>
      </c>
      <c r="J15" t="s">
        <v>266</v>
      </c>
      <c r="K15" s="4" t="s">
        <v>240</v>
      </c>
    </row>
    <row r="16" spans="1:11" x14ac:dyDescent="0.3">
      <c r="A16" t="s">
        <v>235</v>
      </c>
      <c r="B16" t="s">
        <v>284</v>
      </c>
      <c r="C16" s="4">
        <v>0</v>
      </c>
      <c r="D16">
        <v>0</v>
      </c>
      <c r="E16">
        <v>21</v>
      </c>
      <c r="F16">
        <v>9</v>
      </c>
      <c r="G16">
        <v>9</v>
      </c>
      <c r="H16" t="s">
        <v>285</v>
      </c>
      <c r="I16" t="s">
        <v>286</v>
      </c>
      <c r="J16" t="s">
        <v>239</v>
      </c>
      <c r="K16" s="4" t="s">
        <v>240</v>
      </c>
    </row>
    <row r="17" spans="1:11" x14ac:dyDescent="0.3">
      <c r="A17" t="s">
        <v>235</v>
      </c>
      <c r="B17" t="s">
        <v>287</v>
      </c>
      <c r="C17" s="4">
        <v>0</v>
      </c>
      <c r="D17">
        <v>0</v>
      </c>
      <c r="E17">
        <v>38</v>
      </c>
      <c r="F17">
        <v>162</v>
      </c>
      <c r="G17">
        <v>156</v>
      </c>
      <c r="H17" t="s">
        <v>288</v>
      </c>
      <c r="I17" t="s">
        <v>289</v>
      </c>
      <c r="J17" t="s">
        <v>259</v>
      </c>
      <c r="K17" s="4" t="s">
        <v>240</v>
      </c>
    </row>
    <row r="18" spans="1:11" x14ac:dyDescent="0.3">
      <c r="A18" t="s">
        <v>235</v>
      </c>
      <c r="B18" t="s">
        <v>290</v>
      </c>
      <c r="C18" s="4">
        <v>0</v>
      </c>
      <c r="D18">
        <v>0</v>
      </c>
      <c r="E18">
        <v>21</v>
      </c>
      <c r="F18">
        <v>160</v>
      </c>
      <c r="G18">
        <v>157</v>
      </c>
      <c r="H18" t="s">
        <v>291</v>
      </c>
      <c r="I18" t="s">
        <v>292</v>
      </c>
      <c r="J18" t="s">
        <v>266</v>
      </c>
      <c r="K18" s="4" t="s">
        <v>240</v>
      </c>
    </row>
    <row r="19" spans="1:11" x14ac:dyDescent="0.3">
      <c r="A19" t="s">
        <v>235</v>
      </c>
      <c r="B19" t="s">
        <v>293</v>
      </c>
      <c r="C19" s="4">
        <v>0</v>
      </c>
      <c r="D19">
        <v>0</v>
      </c>
      <c r="E19">
        <v>23</v>
      </c>
      <c r="F19">
        <v>163</v>
      </c>
      <c r="G19">
        <v>156</v>
      </c>
      <c r="H19" t="s">
        <v>294</v>
      </c>
      <c r="I19" t="s">
        <v>295</v>
      </c>
      <c r="J19" t="s">
        <v>239</v>
      </c>
      <c r="K19" s="4" t="s">
        <v>240</v>
      </c>
    </row>
    <row r="20" spans="1:11" x14ac:dyDescent="0.3">
      <c r="A20" t="s">
        <v>235</v>
      </c>
      <c r="B20" t="s">
        <v>296</v>
      </c>
      <c r="C20" s="4">
        <v>0</v>
      </c>
      <c r="D20">
        <v>0</v>
      </c>
      <c r="E20">
        <v>23</v>
      </c>
      <c r="F20">
        <v>162</v>
      </c>
      <c r="G20">
        <v>157</v>
      </c>
      <c r="H20" t="s">
        <v>297</v>
      </c>
      <c r="I20" t="s">
        <v>298</v>
      </c>
      <c r="J20" t="s">
        <v>239</v>
      </c>
      <c r="K20" s="4" t="s">
        <v>240</v>
      </c>
    </row>
    <row r="21" spans="1:11" x14ac:dyDescent="0.3">
      <c r="A21" t="s">
        <v>235</v>
      </c>
      <c r="B21" t="s">
        <v>299</v>
      </c>
      <c r="C21" s="4">
        <v>0</v>
      </c>
      <c r="D21">
        <v>0</v>
      </c>
      <c r="E21">
        <v>25</v>
      </c>
      <c r="F21">
        <v>159</v>
      </c>
      <c r="G21">
        <v>154</v>
      </c>
      <c r="H21" t="s">
        <v>300</v>
      </c>
      <c r="I21" t="s">
        <v>301</v>
      </c>
      <c r="J21" t="s">
        <v>266</v>
      </c>
      <c r="K21" s="4" t="s">
        <v>240</v>
      </c>
    </row>
    <row r="22" spans="1:11" x14ac:dyDescent="0.3">
      <c r="A22" t="s">
        <v>235</v>
      </c>
      <c r="B22" t="s">
        <v>302</v>
      </c>
      <c r="C22" s="4">
        <v>0</v>
      </c>
      <c r="D22">
        <v>0</v>
      </c>
      <c r="E22">
        <v>32</v>
      </c>
      <c r="F22">
        <v>162</v>
      </c>
      <c r="G22">
        <v>156</v>
      </c>
      <c r="H22" t="s">
        <v>303</v>
      </c>
      <c r="I22" t="s">
        <v>304</v>
      </c>
      <c r="J22" t="s">
        <v>259</v>
      </c>
      <c r="K22" s="4" t="s">
        <v>240</v>
      </c>
    </row>
    <row r="23" spans="1:11" x14ac:dyDescent="0.3">
      <c r="A23" t="s">
        <v>235</v>
      </c>
      <c r="B23" t="s">
        <v>305</v>
      </c>
      <c r="C23" s="4">
        <v>0</v>
      </c>
      <c r="D23">
        <v>0</v>
      </c>
      <c r="E23">
        <v>33</v>
      </c>
      <c r="F23">
        <v>160</v>
      </c>
      <c r="G23">
        <v>154</v>
      </c>
      <c r="H23" t="s">
        <v>306</v>
      </c>
      <c r="I23" t="s">
        <v>307</v>
      </c>
      <c r="J23" t="s">
        <v>255</v>
      </c>
      <c r="K23" s="4" t="s">
        <v>240</v>
      </c>
    </row>
    <row r="24" spans="1:11" x14ac:dyDescent="0.3">
      <c r="A24" t="s">
        <v>235</v>
      </c>
      <c r="B24" t="s">
        <v>308</v>
      </c>
      <c r="C24" s="4">
        <v>0</v>
      </c>
      <c r="D24">
        <v>0</v>
      </c>
      <c r="E24">
        <v>24</v>
      </c>
      <c r="F24">
        <v>164</v>
      </c>
      <c r="G24">
        <v>158</v>
      </c>
      <c r="H24" t="s">
        <v>309</v>
      </c>
      <c r="I24" t="s">
        <v>310</v>
      </c>
      <c r="J24" t="s">
        <v>239</v>
      </c>
      <c r="K24" s="4" t="s">
        <v>240</v>
      </c>
    </row>
    <row r="25" spans="1:11" x14ac:dyDescent="0.3">
      <c r="A25" t="s">
        <v>235</v>
      </c>
      <c r="B25" t="s">
        <v>311</v>
      </c>
      <c r="C25" s="4">
        <v>0</v>
      </c>
      <c r="D25">
        <v>0</v>
      </c>
      <c r="E25">
        <v>19</v>
      </c>
      <c r="F25">
        <v>156</v>
      </c>
      <c r="G25">
        <v>151</v>
      </c>
      <c r="H25" t="s">
        <v>312</v>
      </c>
      <c r="I25" t="s">
        <v>313</v>
      </c>
      <c r="J25" t="s">
        <v>266</v>
      </c>
      <c r="K25" s="4" t="s">
        <v>240</v>
      </c>
    </row>
    <row r="26" spans="1:11" x14ac:dyDescent="0.3">
      <c r="A26" t="s">
        <v>235</v>
      </c>
      <c r="B26" t="s">
        <v>314</v>
      </c>
      <c r="C26">
        <v>1</v>
      </c>
      <c r="D26">
        <v>1</v>
      </c>
      <c r="E26">
        <v>19</v>
      </c>
      <c r="F26">
        <v>14</v>
      </c>
      <c r="G26">
        <v>14</v>
      </c>
      <c r="H26" t="s">
        <v>315</v>
      </c>
      <c r="I26" t="s">
        <v>316</v>
      </c>
      <c r="J26" t="s">
        <v>317</v>
      </c>
    </row>
    <row r="27" spans="1:11" x14ac:dyDescent="0.3">
      <c r="A27" t="s">
        <v>235</v>
      </c>
      <c r="B27" t="s">
        <v>318</v>
      </c>
      <c r="C27">
        <v>1</v>
      </c>
      <c r="D27">
        <v>1</v>
      </c>
      <c r="E27">
        <v>21</v>
      </c>
      <c r="F27">
        <v>16</v>
      </c>
      <c r="G27">
        <v>15</v>
      </c>
      <c r="H27" t="s">
        <v>319</v>
      </c>
      <c r="I27" t="s">
        <v>320</v>
      </c>
      <c r="J27" t="s">
        <v>317</v>
      </c>
    </row>
    <row r="28" spans="1:11" x14ac:dyDescent="0.3">
      <c r="A28" t="s">
        <v>235</v>
      </c>
      <c r="B28" t="s">
        <v>321</v>
      </c>
      <c r="C28" s="4">
        <v>0</v>
      </c>
      <c r="D28">
        <v>0</v>
      </c>
      <c r="E28">
        <v>41</v>
      </c>
      <c r="F28">
        <v>155</v>
      </c>
      <c r="G28">
        <v>151</v>
      </c>
      <c r="H28" t="s">
        <v>322</v>
      </c>
      <c r="I28" t="s">
        <v>323</v>
      </c>
      <c r="J28" t="s">
        <v>255</v>
      </c>
      <c r="K28" s="4" t="s">
        <v>240</v>
      </c>
    </row>
    <row r="29" spans="1:11" x14ac:dyDescent="0.3">
      <c r="A29" t="s">
        <v>235</v>
      </c>
      <c r="B29" t="s">
        <v>324</v>
      </c>
      <c r="C29" s="4">
        <v>0</v>
      </c>
      <c r="D29">
        <v>0</v>
      </c>
      <c r="E29">
        <v>25</v>
      </c>
      <c r="F29">
        <v>14</v>
      </c>
      <c r="G29">
        <v>14</v>
      </c>
      <c r="H29" t="s">
        <v>325</v>
      </c>
      <c r="I29" t="s">
        <v>326</v>
      </c>
      <c r="J29" t="s">
        <v>327</v>
      </c>
      <c r="K29" s="4" t="s">
        <v>240</v>
      </c>
    </row>
    <row r="30" spans="1:11" x14ac:dyDescent="0.3">
      <c r="A30" t="s">
        <v>235</v>
      </c>
      <c r="B30" t="s">
        <v>328</v>
      </c>
      <c r="C30" s="4">
        <v>0</v>
      </c>
      <c r="D30">
        <v>0</v>
      </c>
      <c r="E30">
        <v>25</v>
      </c>
      <c r="F30">
        <v>154</v>
      </c>
      <c r="G30">
        <v>149</v>
      </c>
      <c r="H30" t="s">
        <v>329</v>
      </c>
      <c r="I30" t="s">
        <v>330</v>
      </c>
      <c r="J30" t="s">
        <v>266</v>
      </c>
      <c r="K30" s="4" t="s">
        <v>240</v>
      </c>
    </row>
    <row r="31" spans="1:11" x14ac:dyDescent="0.3">
      <c r="A31" t="s">
        <v>235</v>
      </c>
      <c r="B31" t="s">
        <v>331</v>
      </c>
      <c r="C31" s="4">
        <v>0</v>
      </c>
      <c r="D31">
        <v>0</v>
      </c>
      <c r="E31">
        <v>36</v>
      </c>
      <c r="F31">
        <v>151</v>
      </c>
      <c r="G31">
        <v>148</v>
      </c>
      <c r="H31" t="s">
        <v>332</v>
      </c>
      <c r="I31" t="s">
        <v>333</v>
      </c>
      <c r="J31" t="s">
        <v>255</v>
      </c>
      <c r="K31" s="4" t="s">
        <v>240</v>
      </c>
    </row>
    <row r="32" spans="1:11" x14ac:dyDescent="0.3">
      <c r="A32" t="s">
        <v>235</v>
      </c>
      <c r="B32" t="s">
        <v>334</v>
      </c>
      <c r="C32">
        <v>1</v>
      </c>
      <c r="D32">
        <v>1</v>
      </c>
      <c r="E32">
        <v>24</v>
      </c>
      <c r="F32">
        <v>156</v>
      </c>
      <c r="G32">
        <v>151</v>
      </c>
      <c r="H32" t="s">
        <v>335</v>
      </c>
      <c r="I32" t="s">
        <v>336</v>
      </c>
      <c r="J32" t="s">
        <v>337</v>
      </c>
    </row>
    <row r="33" spans="1:11" x14ac:dyDescent="0.3">
      <c r="A33" t="s">
        <v>235</v>
      </c>
      <c r="B33" t="s">
        <v>338</v>
      </c>
      <c r="C33" s="4">
        <v>0</v>
      </c>
      <c r="D33">
        <v>0</v>
      </c>
      <c r="E33">
        <v>17</v>
      </c>
      <c r="F33">
        <v>16</v>
      </c>
      <c r="G33">
        <v>16</v>
      </c>
      <c r="H33" t="s">
        <v>339</v>
      </c>
      <c r="I33" t="s">
        <v>340</v>
      </c>
      <c r="J33" t="s">
        <v>239</v>
      </c>
      <c r="K33" s="4" t="s">
        <v>240</v>
      </c>
    </row>
    <row r="34" spans="1:11" x14ac:dyDescent="0.3">
      <c r="A34" t="s">
        <v>341</v>
      </c>
      <c r="B34" t="s">
        <v>342</v>
      </c>
      <c r="C34" s="4">
        <v>0</v>
      </c>
      <c r="D34">
        <v>0</v>
      </c>
      <c r="E34">
        <v>16</v>
      </c>
      <c r="F34">
        <v>0</v>
      </c>
      <c r="G34">
        <v>0</v>
      </c>
      <c r="H34" t="s">
        <v>343</v>
      </c>
      <c r="J34" t="s">
        <v>344</v>
      </c>
      <c r="K34" s="4" t="s">
        <v>240</v>
      </c>
    </row>
    <row r="35" spans="1:11" x14ac:dyDescent="0.3">
      <c r="A35" t="s">
        <v>341</v>
      </c>
      <c r="B35" t="s">
        <v>345</v>
      </c>
      <c r="C35">
        <v>1</v>
      </c>
      <c r="D35" t="s">
        <v>346</v>
      </c>
      <c r="E35">
        <v>57</v>
      </c>
      <c r="F35">
        <v>143</v>
      </c>
      <c r="H35" t="s">
        <v>347</v>
      </c>
      <c r="I35" t="s">
        <v>348</v>
      </c>
      <c r="K35" t="s">
        <v>349</v>
      </c>
    </row>
    <row r="36" spans="1:11" x14ac:dyDescent="0.3">
      <c r="A36" t="s">
        <v>341</v>
      </c>
      <c r="B36" t="s">
        <v>350</v>
      </c>
      <c r="C36">
        <v>1</v>
      </c>
      <c r="D36" t="s">
        <v>346</v>
      </c>
      <c r="E36">
        <v>71</v>
      </c>
      <c r="F36">
        <v>194</v>
      </c>
      <c r="H36" t="s">
        <v>351</v>
      </c>
      <c r="I36" t="s">
        <v>352</v>
      </c>
      <c r="J36" t="s">
        <v>353</v>
      </c>
      <c r="K36" t="s">
        <v>349</v>
      </c>
    </row>
    <row r="37" spans="1:11" x14ac:dyDescent="0.3">
      <c r="A37" t="s">
        <v>341</v>
      </c>
      <c r="B37" t="s">
        <v>354</v>
      </c>
      <c r="C37">
        <v>1</v>
      </c>
      <c r="D37">
        <v>1</v>
      </c>
      <c r="E37">
        <v>72</v>
      </c>
      <c r="F37">
        <v>141</v>
      </c>
      <c r="G37">
        <v>138</v>
      </c>
      <c r="H37" t="s">
        <v>355</v>
      </c>
      <c r="I37" t="s">
        <v>356</v>
      </c>
      <c r="J37" t="s">
        <v>357</v>
      </c>
    </row>
    <row r="38" spans="1:11" x14ac:dyDescent="0.3">
      <c r="A38" t="s">
        <v>341</v>
      </c>
      <c r="B38" t="s">
        <v>358</v>
      </c>
      <c r="C38">
        <v>1</v>
      </c>
      <c r="D38">
        <v>1</v>
      </c>
      <c r="E38">
        <v>78</v>
      </c>
      <c r="F38">
        <v>159</v>
      </c>
      <c r="G38">
        <v>154</v>
      </c>
      <c r="H38" t="s">
        <v>359</v>
      </c>
      <c r="I38" t="s">
        <v>360</v>
      </c>
      <c r="J38" t="s">
        <v>357</v>
      </c>
    </row>
    <row r="39" spans="1:11" x14ac:dyDescent="0.3">
      <c r="A39" t="s">
        <v>341</v>
      </c>
      <c r="B39" t="s">
        <v>361</v>
      </c>
      <c r="C39">
        <v>1</v>
      </c>
      <c r="D39">
        <v>1</v>
      </c>
      <c r="E39">
        <v>57</v>
      </c>
      <c r="F39">
        <v>136</v>
      </c>
      <c r="G39">
        <v>133</v>
      </c>
      <c r="H39" t="s">
        <v>362</v>
      </c>
      <c r="I39" t="s">
        <v>363</v>
      </c>
    </row>
    <row r="40" spans="1:11" x14ac:dyDescent="0.3">
      <c r="A40" t="s">
        <v>341</v>
      </c>
      <c r="B40" t="s">
        <v>364</v>
      </c>
      <c r="C40">
        <v>1</v>
      </c>
      <c r="D40">
        <v>1</v>
      </c>
      <c r="E40">
        <v>76</v>
      </c>
      <c r="F40">
        <v>210</v>
      </c>
      <c r="G40">
        <v>205</v>
      </c>
      <c r="H40" t="s">
        <v>365</v>
      </c>
      <c r="I40" t="s">
        <v>366</v>
      </c>
      <c r="J40" t="s">
        <v>353</v>
      </c>
    </row>
    <row r="41" spans="1:11" x14ac:dyDescent="0.3">
      <c r="A41" t="s">
        <v>341</v>
      </c>
      <c r="B41" t="s">
        <v>367</v>
      </c>
      <c r="C41">
        <v>1</v>
      </c>
      <c r="D41">
        <v>1</v>
      </c>
      <c r="E41">
        <v>68</v>
      </c>
      <c r="F41">
        <v>164</v>
      </c>
      <c r="G41">
        <v>162</v>
      </c>
      <c r="H41" t="s">
        <v>368</v>
      </c>
      <c r="I41" t="s">
        <v>369</v>
      </c>
      <c r="J41" t="s">
        <v>353</v>
      </c>
    </row>
    <row r="42" spans="1:11" x14ac:dyDescent="0.3">
      <c r="A42" t="s">
        <v>341</v>
      </c>
      <c r="B42" t="s">
        <v>370</v>
      </c>
      <c r="C42">
        <v>1</v>
      </c>
      <c r="D42">
        <v>1</v>
      </c>
      <c r="E42">
        <v>94</v>
      </c>
      <c r="F42">
        <v>168</v>
      </c>
      <c r="G42">
        <v>167</v>
      </c>
      <c r="H42" t="s">
        <v>371</v>
      </c>
      <c r="I42" t="s">
        <v>372</v>
      </c>
      <c r="J42" t="s">
        <v>353</v>
      </c>
    </row>
    <row r="43" spans="1:11" x14ac:dyDescent="0.3">
      <c r="A43" t="s">
        <v>341</v>
      </c>
      <c r="B43" t="s">
        <v>373</v>
      </c>
      <c r="C43">
        <v>1</v>
      </c>
      <c r="D43">
        <v>1</v>
      </c>
      <c r="E43">
        <v>77</v>
      </c>
      <c r="F43">
        <v>175</v>
      </c>
      <c r="G43">
        <v>170</v>
      </c>
      <c r="H43" t="s">
        <v>374</v>
      </c>
      <c r="I43" t="s">
        <v>375</v>
      </c>
      <c r="J43" t="s">
        <v>353</v>
      </c>
    </row>
    <row r="44" spans="1:11" x14ac:dyDescent="0.3">
      <c r="A44" t="s">
        <v>341</v>
      </c>
      <c r="B44" t="s">
        <v>376</v>
      </c>
      <c r="C44">
        <v>1</v>
      </c>
      <c r="D44">
        <v>1</v>
      </c>
      <c r="E44">
        <v>60</v>
      </c>
      <c r="F44">
        <v>166</v>
      </c>
      <c r="G44">
        <v>164</v>
      </c>
      <c r="H44" t="s">
        <v>377</v>
      </c>
      <c r="I44" t="s">
        <v>378</v>
      </c>
      <c r="J44" t="s">
        <v>379</v>
      </c>
    </row>
    <row r="45" spans="1:11" x14ac:dyDescent="0.3">
      <c r="A45" t="s">
        <v>341</v>
      </c>
      <c r="B45" t="s">
        <v>380</v>
      </c>
      <c r="C45">
        <v>1</v>
      </c>
      <c r="D45">
        <v>1</v>
      </c>
      <c r="E45">
        <v>61</v>
      </c>
      <c r="F45">
        <v>144</v>
      </c>
      <c r="G45">
        <v>141</v>
      </c>
      <c r="H45" t="s">
        <v>381</v>
      </c>
      <c r="I45" t="s">
        <v>382</v>
      </c>
    </row>
    <row r="46" spans="1:11" x14ac:dyDescent="0.3">
      <c r="A46" t="s">
        <v>341</v>
      </c>
      <c r="B46" t="s">
        <v>383</v>
      </c>
      <c r="C46">
        <v>1</v>
      </c>
      <c r="D46">
        <v>1</v>
      </c>
      <c r="E46">
        <v>73</v>
      </c>
      <c r="F46">
        <v>161</v>
      </c>
      <c r="G46">
        <v>158</v>
      </c>
      <c r="H46" t="s">
        <v>384</v>
      </c>
      <c r="I46" t="s">
        <v>385</v>
      </c>
      <c r="J46" t="s">
        <v>353</v>
      </c>
    </row>
    <row r="47" spans="1:11" x14ac:dyDescent="0.3">
      <c r="A47" t="s">
        <v>341</v>
      </c>
      <c r="B47" t="s">
        <v>386</v>
      </c>
      <c r="C47">
        <v>1</v>
      </c>
      <c r="D47">
        <v>1</v>
      </c>
      <c r="E47">
        <v>83</v>
      </c>
      <c r="F47">
        <v>144</v>
      </c>
      <c r="G47">
        <v>137</v>
      </c>
      <c r="H47" t="s">
        <v>387</v>
      </c>
      <c r="I47" t="s">
        <v>388</v>
      </c>
      <c r="J47" t="s">
        <v>357</v>
      </c>
    </row>
    <row r="48" spans="1:11" x14ac:dyDescent="0.3">
      <c r="A48" t="s">
        <v>341</v>
      </c>
      <c r="B48" t="s">
        <v>389</v>
      </c>
      <c r="C48">
        <v>1</v>
      </c>
      <c r="D48">
        <v>1</v>
      </c>
      <c r="E48">
        <v>90</v>
      </c>
      <c r="F48">
        <v>218</v>
      </c>
      <c r="G48">
        <v>215</v>
      </c>
      <c r="H48" t="s">
        <v>390</v>
      </c>
      <c r="I48" t="s">
        <v>391</v>
      </c>
      <c r="J48" t="s">
        <v>353</v>
      </c>
    </row>
    <row r="49" spans="1:10" x14ac:dyDescent="0.3">
      <c r="A49" t="s">
        <v>341</v>
      </c>
      <c r="B49" t="s">
        <v>392</v>
      </c>
      <c r="C49">
        <v>1</v>
      </c>
      <c r="D49">
        <v>1</v>
      </c>
      <c r="E49">
        <v>97</v>
      </c>
      <c r="F49">
        <v>185</v>
      </c>
      <c r="G49">
        <v>182</v>
      </c>
      <c r="H49" t="s">
        <v>393</v>
      </c>
      <c r="I49" t="s">
        <v>394</v>
      </c>
      <c r="J49" t="s">
        <v>353</v>
      </c>
    </row>
    <row r="50" spans="1:10" x14ac:dyDescent="0.3">
      <c r="A50" t="s">
        <v>341</v>
      </c>
      <c r="B50" t="s">
        <v>395</v>
      </c>
      <c r="C50">
        <v>1</v>
      </c>
      <c r="D50">
        <v>1</v>
      </c>
      <c r="E50">
        <v>81</v>
      </c>
      <c r="F50">
        <v>160</v>
      </c>
      <c r="G50">
        <v>158</v>
      </c>
      <c r="H50" t="s">
        <v>396</v>
      </c>
      <c r="I50" t="s">
        <v>397</v>
      </c>
      <c r="J50" t="s">
        <v>357</v>
      </c>
    </row>
    <row r="51" spans="1:10" x14ac:dyDescent="0.3">
      <c r="A51" t="s">
        <v>341</v>
      </c>
      <c r="B51" t="s">
        <v>398</v>
      </c>
      <c r="C51">
        <v>1</v>
      </c>
      <c r="D51">
        <v>1</v>
      </c>
      <c r="E51">
        <v>83</v>
      </c>
      <c r="F51">
        <v>81</v>
      </c>
      <c r="G51">
        <v>73</v>
      </c>
      <c r="H51" t="s">
        <v>399</v>
      </c>
      <c r="I51" t="s">
        <v>400</v>
      </c>
      <c r="J51" t="s">
        <v>353</v>
      </c>
    </row>
    <row r="52" spans="1:10" x14ac:dyDescent="0.3">
      <c r="A52" t="s">
        <v>341</v>
      </c>
      <c r="B52" t="s">
        <v>401</v>
      </c>
      <c r="C52">
        <v>1</v>
      </c>
      <c r="D52">
        <v>1</v>
      </c>
      <c r="E52">
        <v>83</v>
      </c>
      <c r="F52">
        <v>154</v>
      </c>
      <c r="G52">
        <v>150</v>
      </c>
      <c r="H52" t="s">
        <v>402</v>
      </c>
      <c r="I52" t="s">
        <v>403</v>
      </c>
      <c r="J52" t="s">
        <v>357</v>
      </c>
    </row>
    <row r="53" spans="1:10" x14ac:dyDescent="0.3">
      <c r="A53" t="s">
        <v>341</v>
      </c>
      <c r="B53" t="s">
        <v>404</v>
      </c>
      <c r="C53">
        <v>1</v>
      </c>
      <c r="D53">
        <v>1</v>
      </c>
      <c r="E53">
        <v>64</v>
      </c>
      <c r="F53">
        <v>158</v>
      </c>
      <c r="G53">
        <v>156</v>
      </c>
      <c r="H53" t="s">
        <v>405</v>
      </c>
      <c r="I53" t="s">
        <v>406</v>
      </c>
    </row>
    <row r="54" spans="1:10" x14ac:dyDescent="0.3">
      <c r="A54" t="s">
        <v>341</v>
      </c>
      <c r="B54" t="s">
        <v>407</v>
      </c>
      <c r="C54">
        <v>1</v>
      </c>
      <c r="D54">
        <v>1</v>
      </c>
      <c r="E54">
        <v>76</v>
      </c>
      <c r="F54">
        <v>153</v>
      </c>
      <c r="G54">
        <v>149</v>
      </c>
      <c r="H54" t="s">
        <v>408</v>
      </c>
      <c r="I54" t="s">
        <v>409</v>
      </c>
      <c r="J54" t="s">
        <v>357</v>
      </c>
    </row>
    <row r="55" spans="1:10" x14ac:dyDescent="0.3">
      <c r="A55" t="s">
        <v>341</v>
      </c>
      <c r="B55" t="s">
        <v>410</v>
      </c>
      <c r="C55">
        <v>1</v>
      </c>
      <c r="D55">
        <v>1</v>
      </c>
      <c r="E55">
        <v>80</v>
      </c>
      <c r="F55">
        <v>109</v>
      </c>
      <c r="G55">
        <v>105</v>
      </c>
      <c r="H55" t="s">
        <v>411</v>
      </c>
      <c r="I55" t="s">
        <v>412</v>
      </c>
      <c r="J55" t="s">
        <v>353</v>
      </c>
    </row>
    <row r="56" spans="1:10" x14ac:dyDescent="0.3">
      <c r="A56" t="s">
        <v>341</v>
      </c>
      <c r="B56" t="s">
        <v>413</v>
      </c>
      <c r="C56">
        <v>1</v>
      </c>
      <c r="D56">
        <v>1</v>
      </c>
      <c r="E56">
        <v>85</v>
      </c>
      <c r="F56">
        <v>162</v>
      </c>
      <c r="G56">
        <v>154</v>
      </c>
      <c r="H56" t="s">
        <v>414</v>
      </c>
      <c r="I56" t="s">
        <v>415</v>
      </c>
      <c r="J56" t="s">
        <v>353</v>
      </c>
    </row>
    <row r="57" spans="1:10" x14ac:dyDescent="0.3">
      <c r="A57" t="s">
        <v>341</v>
      </c>
      <c r="B57" t="s">
        <v>416</v>
      </c>
      <c r="C57">
        <v>1</v>
      </c>
      <c r="D57">
        <v>1</v>
      </c>
      <c r="E57">
        <v>72</v>
      </c>
      <c r="F57">
        <v>335</v>
      </c>
      <c r="G57">
        <v>328</v>
      </c>
      <c r="H57" t="s">
        <v>417</v>
      </c>
      <c r="I57" t="s">
        <v>418</v>
      </c>
      <c r="J57" t="s">
        <v>353</v>
      </c>
    </row>
    <row r="58" spans="1:10" x14ac:dyDescent="0.3">
      <c r="A58" t="s">
        <v>341</v>
      </c>
      <c r="B58" t="s">
        <v>419</v>
      </c>
      <c r="C58">
        <v>1</v>
      </c>
      <c r="D58">
        <v>1</v>
      </c>
      <c r="E58">
        <v>62</v>
      </c>
      <c r="F58">
        <v>267</v>
      </c>
      <c r="G58">
        <v>255</v>
      </c>
      <c r="H58" t="s">
        <v>420</v>
      </c>
      <c r="I58" t="s">
        <v>421</v>
      </c>
      <c r="J58" t="s">
        <v>379</v>
      </c>
    </row>
    <row r="59" spans="1:10" x14ac:dyDescent="0.3">
      <c r="A59" t="s">
        <v>341</v>
      </c>
      <c r="B59" t="s">
        <v>422</v>
      </c>
      <c r="C59">
        <v>1</v>
      </c>
      <c r="D59">
        <v>1</v>
      </c>
      <c r="E59">
        <v>81</v>
      </c>
      <c r="F59">
        <v>273</v>
      </c>
      <c r="G59">
        <v>259</v>
      </c>
      <c r="H59" t="s">
        <v>423</v>
      </c>
      <c r="I59" t="s">
        <v>424</v>
      </c>
      <c r="J59" t="s">
        <v>353</v>
      </c>
    </row>
    <row r="60" spans="1:10" x14ac:dyDescent="0.3">
      <c r="A60" t="s">
        <v>341</v>
      </c>
      <c r="B60" t="s">
        <v>425</v>
      </c>
      <c r="C60">
        <v>1</v>
      </c>
      <c r="D60">
        <v>1</v>
      </c>
      <c r="E60">
        <v>84</v>
      </c>
      <c r="F60">
        <v>290</v>
      </c>
      <c r="G60">
        <v>281</v>
      </c>
      <c r="H60" t="s">
        <v>426</v>
      </c>
      <c r="I60" t="s">
        <v>427</v>
      </c>
      <c r="J60" t="s">
        <v>353</v>
      </c>
    </row>
    <row r="61" spans="1:10" x14ac:dyDescent="0.3">
      <c r="A61" t="s">
        <v>341</v>
      </c>
      <c r="B61" t="s">
        <v>428</v>
      </c>
      <c r="C61">
        <v>1</v>
      </c>
      <c r="D61">
        <v>1</v>
      </c>
      <c r="E61">
        <v>92</v>
      </c>
      <c r="F61">
        <v>195</v>
      </c>
      <c r="G61">
        <v>192</v>
      </c>
      <c r="H61" t="s">
        <v>429</v>
      </c>
      <c r="I61" t="s">
        <v>430</v>
      </c>
      <c r="J61" t="s">
        <v>353</v>
      </c>
    </row>
    <row r="62" spans="1:10" x14ac:dyDescent="0.3">
      <c r="A62" t="s">
        <v>341</v>
      </c>
      <c r="B62" t="s">
        <v>431</v>
      </c>
      <c r="C62">
        <v>1</v>
      </c>
      <c r="D62">
        <v>1</v>
      </c>
      <c r="E62">
        <v>65</v>
      </c>
      <c r="F62">
        <v>218</v>
      </c>
      <c r="G62">
        <v>215</v>
      </c>
      <c r="H62" t="s">
        <v>432</v>
      </c>
      <c r="I62" t="s">
        <v>433</v>
      </c>
      <c r="J62" t="s">
        <v>379</v>
      </c>
    </row>
    <row r="63" spans="1:10" x14ac:dyDescent="0.3">
      <c r="A63" t="s">
        <v>341</v>
      </c>
      <c r="B63" t="s">
        <v>434</v>
      </c>
      <c r="C63">
        <v>1</v>
      </c>
      <c r="D63">
        <v>1</v>
      </c>
      <c r="E63">
        <v>77</v>
      </c>
      <c r="F63">
        <v>161</v>
      </c>
      <c r="G63">
        <v>153</v>
      </c>
      <c r="H63" t="s">
        <v>435</v>
      </c>
      <c r="I63" t="s">
        <v>436</v>
      </c>
      <c r="J63" t="s">
        <v>353</v>
      </c>
    </row>
    <row r="64" spans="1:10" x14ac:dyDescent="0.3">
      <c r="A64" t="s">
        <v>341</v>
      </c>
      <c r="B64" t="s">
        <v>437</v>
      </c>
      <c r="C64">
        <v>1</v>
      </c>
      <c r="D64">
        <v>1</v>
      </c>
      <c r="E64">
        <v>83</v>
      </c>
      <c r="F64">
        <v>189</v>
      </c>
      <c r="G64">
        <v>182</v>
      </c>
      <c r="H64" t="s">
        <v>438</v>
      </c>
      <c r="I64" t="s">
        <v>439</v>
      </c>
      <c r="J64" t="s">
        <v>353</v>
      </c>
    </row>
    <row r="65" spans="1:11" x14ac:dyDescent="0.3">
      <c r="A65" t="s">
        <v>341</v>
      </c>
      <c r="B65" t="s">
        <v>440</v>
      </c>
      <c r="C65">
        <v>1</v>
      </c>
      <c r="D65">
        <v>1</v>
      </c>
      <c r="E65">
        <v>68</v>
      </c>
      <c r="F65">
        <v>204</v>
      </c>
      <c r="G65">
        <v>199</v>
      </c>
      <c r="H65" t="s">
        <v>441</v>
      </c>
      <c r="I65" t="s">
        <v>442</v>
      </c>
      <c r="J65" t="s">
        <v>353</v>
      </c>
    </row>
    <row r="66" spans="1:11" x14ac:dyDescent="0.3">
      <c r="A66" t="s">
        <v>341</v>
      </c>
      <c r="B66" t="s">
        <v>443</v>
      </c>
      <c r="C66">
        <v>1</v>
      </c>
      <c r="D66">
        <v>1</v>
      </c>
      <c r="E66">
        <v>84</v>
      </c>
      <c r="F66">
        <v>189</v>
      </c>
      <c r="G66">
        <v>182</v>
      </c>
      <c r="H66" t="s">
        <v>444</v>
      </c>
      <c r="I66" t="s">
        <v>439</v>
      </c>
      <c r="J66" t="s">
        <v>353</v>
      </c>
    </row>
    <row r="67" spans="1:11" x14ac:dyDescent="0.3">
      <c r="A67" t="s">
        <v>341</v>
      </c>
      <c r="B67" t="s">
        <v>445</v>
      </c>
      <c r="C67">
        <v>1</v>
      </c>
      <c r="D67">
        <v>1</v>
      </c>
      <c r="E67">
        <v>77</v>
      </c>
      <c r="F67">
        <v>154</v>
      </c>
      <c r="G67">
        <v>151</v>
      </c>
      <c r="H67" t="s">
        <v>446</v>
      </c>
      <c r="I67" t="s">
        <v>447</v>
      </c>
      <c r="J67" t="s">
        <v>357</v>
      </c>
    </row>
    <row r="68" spans="1:11" x14ac:dyDescent="0.3">
      <c r="A68" t="s">
        <v>341</v>
      </c>
      <c r="B68" t="s">
        <v>448</v>
      </c>
      <c r="C68">
        <v>1</v>
      </c>
      <c r="D68">
        <v>1</v>
      </c>
      <c r="E68">
        <v>67</v>
      </c>
      <c r="F68">
        <v>155</v>
      </c>
      <c r="G68">
        <v>153</v>
      </c>
      <c r="H68" t="s">
        <v>449</v>
      </c>
      <c r="I68" t="s">
        <v>450</v>
      </c>
      <c r="J68" t="s">
        <v>357</v>
      </c>
    </row>
    <row r="69" spans="1:11" x14ac:dyDescent="0.3">
      <c r="A69" t="s">
        <v>341</v>
      </c>
      <c r="B69" t="s">
        <v>451</v>
      </c>
      <c r="C69">
        <v>1</v>
      </c>
      <c r="D69">
        <v>1</v>
      </c>
      <c r="E69">
        <v>68</v>
      </c>
      <c r="F69">
        <v>160</v>
      </c>
      <c r="G69">
        <v>155</v>
      </c>
      <c r="H69" t="s">
        <v>452</v>
      </c>
      <c r="I69" t="s">
        <v>453</v>
      </c>
      <c r="J69" t="s">
        <v>357</v>
      </c>
    </row>
    <row r="70" spans="1:11" x14ac:dyDescent="0.3">
      <c r="A70" t="s">
        <v>341</v>
      </c>
      <c r="B70" t="s">
        <v>454</v>
      </c>
      <c r="C70">
        <v>1</v>
      </c>
      <c r="D70">
        <v>1</v>
      </c>
      <c r="E70">
        <v>68</v>
      </c>
      <c r="F70">
        <v>154</v>
      </c>
      <c r="G70">
        <v>148</v>
      </c>
      <c r="H70" t="s">
        <v>455</v>
      </c>
      <c r="I70" t="s">
        <v>456</v>
      </c>
      <c r="J70" t="s">
        <v>357</v>
      </c>
    </row>
    <row r="71" spans="1:11" x14ac:dyDescent="0.3">
      <c r="A71" t="s">
        <v>457</v>
      </c>
      <c r="B71" t="s">
        <v>458</v>
      </c>
      <c r="C71">
        <v>1</v>
      </c>
      <c r="D71">
        <v>1</v>
      </c>
      <c r="E71">
        <v>97</v>
      </c>
      <c r="F71">
        <v>198</v>
      </c>
      <c r="G71">
        <v>193</v>
      </c>
      <c r="H71" t="s">
        <v>459</v>
      </c>
      <c r="I71" t="s">
        <v>460</v>
      </c>
      <c r="J71" t="s">
        <v>353</v>
      </c>
    </row>
    <row r="72" spans="1:11" x14ac:dyDescent="0.3">
      <c r="A72" t="s">
        <v>457</v>
      </c>
      <c r="B72" t="s">
        <v>461</v>
      </c>
      <c r="C72">
        <v>1</v>
      </c>
      <c r="D72">
        <v>1</v>
      </c>
      <c r="E72">
        <v>128</v>
      </c>
      <c r="F72">
        <v>137</v>
      </c>
      <c r="G72">
        <v>135</v>
      </c>
      <c r="H72" t="s">
        <v>462</v>
      </c>
      <c r="I72" t="s">
        <v>463</v>
      </c>
      <c r="J72" t="s">
        <v>357</v>
      </c>
    </row>
    <row r="73" spans="1:11" x14ac:dyDescent="0.3">
      <c r="A73" t="s">
        <v>457</v>
      </c>
      <c r="B73" t="s">
        <v>464</v>
      </c>
      <c r="C73">
        <v>1</v>
      </c>
      <c r="D73">
        <v>1</v>
      </c>
      <c r="E73">
        <v>54</v>
      </c>
      <c r="F73">
        <v>122</v>
      </c>
      <c r="G73">
        <v>122</v>
      </c>
      <c r="H73" t="s">
        <v>465</v>
      </c>
      <c r="I73" t="s">
        <v>466</v>
      </c>
    </row>
    <row r="74" spans="1:11" x14ac:dyDescent="0.3">
      <c r="A74" t="s">
        <v>457</v>
      </c>
      <c r="B74" t="s">
        <v>467</v>
      </c>
      <c r="C74">
        <v>1</v>
      </c>
      <c r="D74">
        <v>1</v>
      </c>
      <c r="E74">
        <v>83</v>
      </c>
      <c r="F74">
        <v>186</v>
      </c>
      <c r="G74">
        <v>180</v>
      </c>
      <c r="H74" t="s">
        <v>468</v>
      </c>
      <c r="I74" t="s">
        <v>469</v>
      </c>
      <c r="J74" t="s">
        <v>353</v>
      </c>
    </row>
    <row r="75" spans="1:11" x14ac:dyDescent="0.3">
      <c r="A75" t="s">
        <v>470</v>
      </c>
      <c r="B75" t="s">
        <v>471</v>
      </c>
      <c r="C75">
        <v>1</v>
      </c>
      <c r="D75">
        <v>1</v>
      </c>
      <c r="E75">
        <v>90</v>
      </c>
      <c r="F75">
        <v>151</v>
      </c>
      <c r="G75">
        <v>148</v>
      </c>
      <c r="H75" t="s">
        <v>472</v>
      </c>
      <c r="I75" t="s">
        <v>473</v>
      </c>
      <c r="J75" t="s">
        <v>357</v>
      </c>
    </row>
    <row r="76" spans="1:11" x14ac:dyDescent="0.3">
      <c r="A76" t="s">
        <v>470</v>
      </c>
      <c r="B76" t="s">
        <v>474</v>
      </c>
      <c r="C76">
        <v>1</v>
      </c>
      <c r="D76">
        <v>1</v>
      </c>
      <c r="E76">
        <v>115</v>
      </c>
      <c r="F76">
        <v>155</v>
      </c>
      <c r="G76">
        <v>154</v>
      </c>
      <c r="H76" t="s">
        <v>475</v>
      </c>
      <c r="I76" t="s">
        <v>476</v>
      </c>
      <c r="J76" t="s">
        <v>357</v>
      </c>
    </row>
    <row r="77" spans="1:11" x14ac:dyDescent="0.3">
      <c r="A77" t="s">
        <v>470</v>
      </c>
      <c r="B77" t="s">
        <v>477</v>
      </c>
      <c r="C77">
        <v>1</v>
      </c>
      <c r="D77">
        <v>1</v>
      </c>
      <c r="E77">
        <v>91</v>
      </c>
      <c r="F77">
        <v>123</v>
      </c>
      <c r="G77">
        <v>122</v>
      </c>
      <c r="H77" t="s">
        <v>478</v>
      </c>
      <c r="I77" t="s">
        <v>479</v>
      </c>
      <c r="J77" t="s">
        <v>357</v>
      </c>
    </row>
    <row r="78" spans="1:11" x14ac:dyDescent="0.3">
      <c r="A78" t="s">
        <v>470</v>
      </c>
      <c r="B78" t="s">
        <v>480</v>
      </c>
      <c r="C78">
        <v>1</v>
      </c>
      <c r="D78">
        <v>1</v>
      </c>
      <c r="E78">
        <v>51</v>
      </c>
      <c r="F78">
        <v>85</v>
      </c>
      <c r="G78">
        <v>82</v>
      </c>
      <c r="H78" t="s">
        <v>481</v>
      </c>
      <c r="I78" t="s">
        <v>482</v>
      </c>
      <c r="J78" t="s">
        <v>379</v>
      </c>
    </row>
    <row r="79" spans="1:11" x14ac:dyDescent="0.3">
      <c r="A79" t="s">
        <v>470</v>
      </c>
      <c r="B79" t="s">
        <v>483</v>
      </c>
      <c r="C79">
        <v>1</v>
      </c>
      <c r="D79">
        <v>1</v>
      </c>
      <c r="E79">
        <v>100</v>
      </c>
      <c r="F79">
        <v>92</v>
      </c>
      <c r="G79">
        <v>89</v>
      </c>
      <c r="H79" t="s">
        <v>484</v>
      </c>
      <c r="I79" t="s">
        <v>485</v>
      </c>
      <c r="J79" t="s">
        <v>353</v>
      </c>
    </row>
    <row r="80" spans="1:11" x14ac:dyDescent="0.3">
      <c r="A80" t="s">
        <v>486</v>
      </c>
      <c r="B80" t="s">
        <v>487</v>
      </c>
      <c r="C80">
        <v>1</v>
      </c>
      <c r="D80" t="s">
        <v>346</v>
      </c>
      <c r="E80">
        <v>57</v>
      </c>
      <c r="F80">
        <v>133</v>
      </c>
      <c r="H80" t="s">
        <v>488</v>
      </c>
      <c r="I80" t="s">
        <v>489</v>
      </c>
      <c r="K80" t="s">
        <v>349</v>
      </c>
    </row>
    <row r="81" spans="1:11" x14ac:dyDescent="0.3">
      <c r="A81" t="s">
        <v>486</v>
      </c>
      <c r="B81" t="s">
        <v>490</v>
      </c>
      <c r="C81">
        <v>2</v>
      </c>
      <c r="D81">
        <v>2</v>
      </c>
      <c r="E81">
        <v>54</v>
      </c>
      <c r="F81">
        <v>146</v>
      </c>
      <c r="G81">
        <v>145</v>
      </c>
      <c r="H81" t="s">
        <v>491</v>
      </c>
      <c r="I81" t="s">
        <v>492</v>
      </c>
      <c r="J81" t="s">
        <v>493</v>
      </c>
    </row>
    <row r="82" spans="1:11" x14ac:dyDescent="0.3">
      <c r="A82" t="s">
        <v>486</v>
      </c>
      <c r="B82" t="s">
        <v>494</v>
      </c>
      <c r="C82">
        <v>1</v>
      </c>
      <c r="D82">
        <v>1</v>
      </c>
      <c r="E82">
        <v>53</v>
      </c>
      <c r="F82">
        <v>148</v>
      </c>
      <c r="G82">
        <v>146</v>
      </c>
      <c r="H82" t="s">
        <v>495</v>
      </c>
      <c r="I82" t="s">
        <v>496</v>
      </c>
    </row>
    <row r="83" spans="1:11" x14ac:dyDescent="0.3">
      <c r="A83" t="s">
        <v>486</v>
      </c>
      <c r="B83" t="s">
        <v>497</v>
      </c>
      <c r="C83">
        <v>1</v>
      </c>
      <c r="D83">
        <v>1</v>
      </c>
      <c r="E83">
        <v>96</v>
      </c>
      <c r="F83">
        <v>84</v>
      </c>
      <c r="G83">
        <v>81</v>
      </c>
      <c r="H83" t="s">
        <v>498</v>
      </c>
      <c r="I83" t="s">
        <v>499</v>
      </c>
      <c r="J83" t="s">
        <v>353</v>
      </c>
    </row>
    <row r="84" spans="1:11" x14ac:dyDescent="0.3">
      <c r="A84" t="s">
        <v>486</v>
      </c>
      <c r="B84" t="s">
        <v>500</v>
      </c>
      <c r="C84">
        <v>1</v>
      </c>
      <c r="D84">
        <v>1</v>
      </c>
      <c r="E84">
        <v>35</v>
      </c>
      <c r="F84">
        <v>143</v>
      </c>
      <c r="G84">
        <v>142</v>
      </c>
      <c r="H84" t="s">
        <v>501</v>
      </c>
      <c r="I84" t="s">
        <v>502</v>
      </c>
    </row>
    <row r="85" spans="1:11" x14ac:dyDescent="0.3">
      <c r="A85" t="s">
        <v>486</v>
      </c>
      <c r="B85" t="s">
        <v>503</v>
      </c>
      <c r="C85">
        <v>1</v>
      </c>
      <c r="D85">
        <v>1</v>
      </c>
      <c r="E85">
        <v>38</v>
      </c>
      <c r="F85">
        <v>53</v>
      </c>
      <c r="G85">
        <v>49</v>
      </c>
      <c r="H85" t="s">
        <v>504</v>
      </c>
      <c r="I85" t="s">
        <v>505</v>
      </c>
      <c r="J85" t="s">
        <v>379</v>
      </c>
    </row>
    <row r="86" spans="1:11" x14ac:dyDescent="0.3">
      <c r="A86" t="s">
        <v>486</v>
      </c>
      <c r="B86" t="s">
        <v>506</v>
      </c>
      <c r="C86">
        <v>1</v>
      </c>
      <c r="D86">
        <v>1</v>
      </c>
      <c r="E86">
        <v>79</v>
      </c>
      <c r="F86">
        <v>311</v>
      </c>
      <c r="G86">
        <v>302</v>
      </c>
      <c r="H86" t="s">
        <v>507</v>
      </c>
      <c r="I86" t="s">
        <v>508</v>
      </c>
      <c r="J86" t="s">
        <v>353</v>
      </c>
    </row>
    <row r="87" spans="1:11" x14ac:dyDescent="0.3">
      <c r="A87" t="s">
        <v>486</v>
      </c>
      <c r="B87" t="s">
        <v>509</v>
      </c>
      <c r="C87">
        <v>1</v>
      </c>
      <c r="D87">
        <v>1</v>
      </c>
      <c r="E87">
        <v>88</v>
      </c>
      <c r="F87">
        <v>321</v>
      </c>
      <c r="G87">
        <v>315</v>
      </c>
      <c r="H87" t="s">
        <v>510</v>
      </c>
      <c r="I87" t="s">
        <v>511</v>
      </c>
      <c r="J87" t="s">
        <v>353</v>
      </c>
    </row>
    <row r="88" spans="1:11" x14ac:dyDescent="0.3">
      <c r="A88" t="s">
        <v>486</v>
      </c>
      <c r="B88" t="s">
        <v>512</v>
      </c>
      <c r="C88">
        <v>1</v>
      </c>
      <c r="D88">
        <v>1</v>
      </c>
      <c r="E88">
        <v>73</v>
      </c>
      <c r="F88">
        <v>223</v>
      </c>
      <c r="G88">
        <v>214</v>
      </c>
      <c r="H88" t="s">
        <v>513</v>
      </c>
      <c r="I88" t="s">
        <v>514</v>
      </c>
      <c r="J88" t="s">
        <v>353</v>
      </c>
    </row>
    <row r="89" spans="1:11" x14ac:dyDescent="0.3">
      <c r="A89" t="s">
        <v>515</v>
      </c>
      <c r="B89" t="s">
        <v>516</v>
      </c>
      <c r="C89">
        <v>1</v>
      </c>
      <c r="D89" t="s">
        <v>346</v>
      </c>
      <c r="E89">
        <v>20</v>
      </c>
      <c r="F89">
        <v>0</v>
      </c>
      <c r="H89" t="s">
        <v>517</v>
      </c>
      <c r="J89" t="s">
        <v>518</v>
      </c>
      <c r="K89" t="s">
        <v>349</v>
      </c>
    </row>
    <row r="90" spans="1:11" x14ac:dyDescent="0.3">
      <c r="A90" t="s">
        <v>515</v>
      </c>
      <c r="B90" t="s">
        <v>519</v>
      </c>
      <c r="C90">
        <v>1</v>
      </c>
      <c r="D90" t="s">
        <v>346</v>
      </c>
      <c r="E90">
        <v>20</v>
      </c>
      <c r="F90">
        <v>0</v>
      </c>
      <c r="H90" t="s">
        <v>520</v>
      </c>
      <c r="J90" t="s">
        <v>518</v>
      </c>
      <c r="K90" t="s">
        <v>349</v>
      </c>
    </row>
    <row r="91" spans="1:11" x14ac:dyDescent="0.3">
      <c r="A91" t="s">
        <v>521</v>
      </c>
      <c r="B91" t="s">
        <v>522</v>
      </c>
      <c r="C91">
        <v>1</v>
      </c>
      <c r="D91" t="s">
        <v>346</v>
      </c>
      <c r="E91">
        <v>21</v>
      </c>
      <c r="F91">
        <v>0</v>
      </c>
      <c r="H91" t="s">
        <v>285</v>
      </c>
      <c r="J91" t="s">
        <v>518</v>
      </c>
      <c r="K91" t="s">
        <v>349</v>
      </c>
    </row>
    <row r="92" spans="1:11" x14ac:dyDescent="0.3">
      <c r="A92" t="s">
        <v>523</v>
      </c>
      <c r="B92" t="s">
        <v>524</v>
      </c>
      <c r="C92">
        <v>1</v>
      </c>
      <c r="D92" t="s">
        <v>346</v>
      </c>
      <c r="E92">
        <v>24</v>
      </c>
      <c r="F92">
        <v>0</v>
      </c>
      <c r="H92" t="s">
        <v>525</v>
      </c>
      <c r="J92" t="s">
        <v>518</v>
      </c>
      <c r="K92" t="s">
        <v>349</v>
      </c>
    </row>
  </sheetData>
  <autoFilter ref="A1:K92" xr:uid="{AB5BB39E-9C16-4A02-8B6F-3E582936CF0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Painel</vt:lpstr>
      <vt:lpstr>Plano de ação</vt:lpstr>
      <vt:lpstr>Scorecards</vt:lpstr>
      <vt:lpstr>Varredura 91 URLs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Francielle Santos</dc:creator>
  <cp:lastModifiedBy>Francielle Santos</cp:lastModifiedBy>
  <dcterms:created xsi:type="dcterms:W3CDTF">2026-09-25T21:03:05Z</dcterms:created>
  <dcterms:modified xsi:type="dcterms:W3CDTF">2026-09-25T21:03:11Z</dcterms:modified>
</cp:coreProperties>
</file>